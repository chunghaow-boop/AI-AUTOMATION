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-Day Calendar" sheetId="1" state="visible" r:id="rId3"/>
    <sheet name="Post Log" sheetId="2" state="visible" r:id="rId4"/>
    <sheet name="Weekly" sheetId="3" state="visible" r:id="rId5"/>
    <sheet name="Leads" sheetId="4" state="visible" r:id="rId6"/>
    <sheet name="Experiments" sheetId="5" state="visible" r:id="rId7"/>
    <sheet name="Targe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<sst xmlns="http://schemas.openxmlformats.org/spreadsheetml/2006/main" count="432" uniqueCount="331">
  <si>
    <t xml:space="preserve">30-DAY CONTENT CALENDAR  ·  24 Aug – 22 Sep 2026  ·  Urban Auto Hub</t>
  </si>
  <si>
    <t xml:space="preserve">Full detail in urban-auto-hub/CALENDAR-30D.md. Tick Shot / Hook B / Posted as you go. EVERY Reel needs two hooks and a cover frame. Log results in the Post Log tab at +24h. Prices, unit counts and names are placeholders — fill from real documents on the day.</t>
  </si>
  <si>
    <t xml:space="preserve">Day</t>
  </si>
  <si>
    <t xml:space="preserve">Date</t>
  </si>
  <si>
    <t xml:space="preserve">Category</t>
  </si>
  <si>
    <t xml:space="preserve">Format</t>
  </si>
  <si>
    <t xml:space="preserve">Frame-1 text</t>
  </si>
  <si>
    <t xml:space="preserve">Hook (spoken)</t>
  </si>
  <si>
    <t xml:space="preserve">Key message</t>
  </si>
  <si>
    <t xml:space="preserve">CTA</t>
  </si>
  <si>
    <t xml:space="preserve">Metric</t>
  </si>
  <si>
    <t xml:space="preserve">Hook style</t>
  </si>
  <si>
    <t xml:space="preserve">Shot?</t>
  </si>
  <si>
    <t xml:space="preserve">Hook B?</t>
  </si>
  <si>
    <t xml:space="preserve">Posted?</t>
  </si>
  <si>
    <t xml:space="preserve">D01</t>
  </si>
  <si>
    <t xml:space="preserve">Authority</t>
  </si>
  <si>
    <t xml:space="preserve">Reel 60-75s</t>
  </si>
  <si>
    <t xml:space="preserve">KERTAS DULU, KERETA KEMUDIAN</t>
  </si>
  <si>
    <t xml:space="preserve">Semua orang tunjuk kereta. Takda orang tunjuk kertas ni.</t>
  </si>
  <si>
    <t xml:space="preserve">Every car starts as a Japanese auction sheet - grade, mileage, panel damage map, inspector notes. If a seller can't produce it, that's the question to ask.</t>
  </si>
  <si>
    <t xml:space="preserve">Nak kami tarik auction sheet untuk unit yang korang pertimbang? Comment 'SHEET'.</t>
  </si>
  <si>
    <t xml:space="preserve">Saves</t>
  </si>
  <si>
    <t xml:space="preserve">Everything on the table</t>
  </si>
  <si>
    <t xml:space="preserve">D02</t>
  </si>
  <si>
    <t xml:space="preserve">Educational</t>
  </si>
  <si>
    <t xml:space="preserve">Carousel 6 cards - PINNED</t>
  </si>
  <si>
    <t xml:space="preserve">GRED 4.5 vs GRED 4</t>
  </si>
  <si>
    <t xml:space="preserve">Beza satu titik. Beza harga RM___.</t>
  </si>
  <si>
    <t xml:space="preserve">Decode Japanese auction grades 5 / 4.5 / 4 / 3.5 / R / RA - one card each, plain Malay, what each means for the person paying.</t>
  </si>
  <si>
    <t xml:space="preserve">Save ni sebelum korang tengok kereta. Comment gred yang korang tak faham.</t>
  </si>
  <si>
    <t xml:space="preserve">Price shock</t>
  </si>
  <si>
    <t xml:space="preserve">D03</t>
  </si>
  <si>
    <t xml:space="preserve">Entertaining</t>
  </si>
  <si>
    <t xml:space="preserve">Reel 30-45s</t>
  </si>
  <si>
    <t xml:space="preserve">TAKDA KAT MALAYSIA</t>
  </si>
  <si>
    <t xml:space="preserve">(cold engine start, no music) Kereta ni takda kat sini. Bukan sebab mahal.</t>
  </si>
  <si>
    <t xml:space="preserve">Dealers buy what sells fast, so unusual specs never get ordered locally. They exist at auction every week.</t>
  </si>
  <si>
    <t xml:space="preserve">Kereta apa korang cari yang takda kat Malaysia? Comment.</t>
  </si>
  <si>
    <t xml:space="preserve">3-sec rate</t>
  </si>
  <si>
    <t xml:space="preserve">Cold sound</t>
  </si>
  <si>
    <t xml:space="preserve">D04</t>
  </si>
  <si>
    <t xml:space="preserve">Personal</t>
  </si>
  <si>
    <t xml:space="preserve">Reel 45-60s</t>
  </si>
  <si>
    <t xml:space="preserve">2:00 PAGI</t>
  </si>
  <si>
    <t xml:space="preserve">Pukul 2 pagi kat KK. Auction Jepun start pukul 3.</t>
  </si>
  <si>
    <t xml:space="preserve">What bidding actually looks like - the time zone, the live board, one shot, losing a car by 10,000 yen while your customer sleeps.</t>
  </si>
  <si>
    <t xml:space="preserve">Follow kalau nak tengok kami bid live minggu depan.</t>
  </si>
  <si>
    <t xml:space="preserve">Follows</t>
  </si>
  <si>
    <t xml:space="preserve">Mid-action start</t>
  </si>
  <si>
    <t xml:space="preserve">D05</t>
  </si>
  <si>
    <t xml:space="preserve">Community</t>
  </si>
  <si>
    <t xml:space="preserve">Still split-screen + long caption</t>
  </si>
  <si>
    <t xml:space="preserve">A ATAU B?</t>
  </si>
  <si>
    <t xml:space="preserve">Satu huruf ja. A atau B?</t>
  </si>
  <si>
    <t xml:space="preserve">Same model, two auction specs. Both gettable. Which would you actually take?</t>
  </si>
  <si>
    <t xml:space="preserve">Comment A atau B. Yang menang, kami cari unit dia minggu depan.</t>
  </si>
  <si>
    <t xml:space="preserve">COMMENTS</t>
  </si>
  <si>
    <t xml:space="preserve">Split screen</t>
  </si>
  <si>
    <t xml:space="preserve">D06</t>
  </si>
  <si>
    <t xml:space="preserve">FB Live 15-20 min</t>
  </si>
  <si>
    <t xml:space="preserve">(live)</t>
  </si>
  <si>
    <t xml:space="preserve">Live: kami buka auction sheet untuk 3 unit yang korang minta.</t>
  </si>
  <si>
    <t xml:space="preserve">Read real sheets out loud on camera - grade, panel map, inspector notes, mileage record. Answer questions live.</t>
  </si>
  <si>
    <t xml:space="preserve">Comment model - kami tarik sheet dia sekarang.</t>
  </si>
  <si>
    <t xml:space="preserve">Comments + watch</t>
  </si>
  <si>
    <t xml:space="preserve">Direct challenge</t>
  </si>
  <si>
    <t xml:space="preserve">D07</t>
  </si>
  <si>
    <t xml:space="preserve">Carousel + poll</t>
  </si>
  <si>
    <t xml:space="preserve">3 UNIT SAMPAI MINGGU NI</t>
  </si>
  <si>
    <t xml:space="preserve">Tiga unit sampai. Satu tu spec yang customer minta empat bulan lepas.</t>
  </si>
  <si>
    <t xml:space="preserve">What landed this week + one spec search that finally closed. Proof for buyers, quiet proof for watching dealers.</t>
  </si>
  <si>
    <t xml:space="preserve">Poll: unit apa korang nak kami cari bulan depan?</t>
  </si>
  <si>
    <t xml:space="preserve">Shares</t>
  </si>
  <si>
    <t xml:space="preserve">Receipts</t>
  </si>
  <si>
    <t xml:space="preserve">D08</t>
  </si>
  <si>
    <t xml:space="preserve">RM___ -&gt; RM___</t>
  </si>
  <si>
    <t xml:space="preserve">RM___ kat Jepun. RM___ sampai driveway korang. Duit tu pergi mana?</t>
  </si>
  <si>
    <t xml:space="preserve">The full cost stack, every line named: auction price, inland transport, shipping, marine insurance, duty, excise, SST, permit, registration, margin.</t>
  </si>
  <si>
    <t xml:space="preserve">Save ni. Comment 'KOS' kalau nak breakdown untuk model korang.</t>
  </si>
  <si>
    <t xml:space="preserve">D09</t>
  </si>
  <si>
    <t xml:space="preserve">Carousel - PINNED</t>
  </si>
  <si>
    <t xml:space="preserve">(price + warranty burned in, static)</t>
  </si>
  <si>
    <t xml:space="preserve">Stock minggu ni - dan empat spec yang kami tengah cari untuk customer.</t>
  </si>
  <si>
    <t xml:space="preserve">Available units PLUS open spec searches. The searches are what prove the sourcing service is real and busy.</t>
  </si>
  <si>
    <t xml:space="preserve">Comment nombor unit, atau WhatsApp spec korang.</t>
  </si>
  <si>
    <t xml:space="preserve">Convos</t>
  </si>
  <si>
    <t xml:space="preserve">D10</t>
  </si>
  <si>
    <t xml:space="preserve">11 WARNA. MALAYSIA: 2.</t>
  </si>
  <si>
    <t xml:space="preserve">Kami boleh mintak sebelas warna. Malaysia ada dua.</t>
  </si>
  <si>
    <t xml:space="preserve">Local stock is chosen by resale speed so the palette collapses to white and black. Auction has the full range. This is the whole argument for sourcing to spec.</t>
  </si>
  <si>
    <t xml:space="preserve">Warna apa korang mau tapi takda kat sini? Comment.</t>
  </si>
  <si>
    <t xml:space="preserve">Bold claim</t>
  </si>
  <si>
    <t xml:space="preserve">D11</t>
  </si>
  <si>
    <t xml:space="preserve">TAHUN 3 = TITIK MANIS</t>
  </si>
  <si>
    <t xml:space="preserve">Recond tiga tahun atau baru? Ini nombornya.</t>
  </si>
  <si>
    <t xml:space="preserve">3-5 year cars are the largest slice of the Malaysian used market: steepest depreciation absorbed, modern safety tech still there. Run the maths on one named model.</t>
  </si>
  <si>
    <t xml:space="preserve">Save. Comment model korang, kami kira.</t>
  </si>
  <si>
    <t xml:space="preserve">Result-first</t>
  </si>
  <si>
    <t xml:space="preserve">D12</t>
  </si>
  <si>
    <t xml:space="preserve">Reel 30s</t>
  </si>
  <si>
    <t xml:space="preserve">TEKA HARGA</t>
  </si>
  <si>
    <t xml:space="preserve">Teka harga unit ni. Yang paling dekat, kami belanja detailing.</t>
  </si>
  <si>
    <t xml:space="preserve">A guessing game on a real available unit. Guessing is free and fun - which is why it beats 'what do you think?'</t>
  </si>
  <si>
    <t xml:space="preserve">Comment satu nombor. Jawapan esok.</t>
  </si>
  <si>
    <t xml:space="preserve">Unanswered question</t>
  </si>
  <si>
    <t xml:space="preserve">D13</t>
  </si>
  <si>
    <t xml:space="preserve">BTS Reel 45-60s</t>
  </si>
  <si>
    <t xml:space="preserve">6 PAGI. PELABUHAN KK.</t>
  </si>
  <si>
    <t xml:space="preserve">Pelabuhan Kota Kinabalu. Enam pagi. Ini bahagian yang takda orang tunjuk.</t>
  </si>
  <si>
    <t xml:space="preserve">The unglamorous end - port, customs, paperwork, the wait, and the first time anyone sees the car in person.</t>
  </si>
  <si>
    <t xml:space="preserve">Follow untuk tengok unit ni siap.</t>
  </si>
  <si>
    <t xml:space="preserve">D14</t>
  </si>
  <si>
    <t xml:space="preserve">JAWAPAN: RM___</t>
  </si>
  <si>
    <t xml:space="preserve">Jawapan teka harga: RM___. Yang paling dekat - [nama].</t>
  </si>
  <si>
    <t xml:space="preserve">Close Friday's loop. Name the winner, show the unit going home. A promise kept in public beats three promises made.</t>
  </si>
  <si>
    <t xml:space="preserve">Poll: teka harga next - kereta apa?</t>
  </si>
  <si>
    <t xml:space="preserve">D15</t>
  </si>
  <si>
    <t xml:space="preserve">HURUF "R"</t>
  </si>
  <si>
    <t xml:space="preserve">Huruf R atas auction sheet. Ramai takut. Sebenarnya?</t>
  </si>
  <si>
    <t xml:space="preserve">R means repair history - not automatically bad. What matters is which panel and what kind of repair. Teach the panel map.</t>
  </si>
  <si>
    <t xml:space="preserve">Save. Comment 'R' kalau nak kami semak sheet unit korang.</t>
  </si>
  <si>
    <t xml:space="preserve">D16</t>
  </si>
  <si>
    <t xml:space="preserve">(as D09)</t>
  </si>
  <si>
    <t xml:space="preserve">Stock minggu ni + spec search yang masih terbuka.</t>
  </si>
  <si>
    <t xml:space="preserve">Weekly rhythm. Repetition is the point - Tuesday is always the stock carousel.</t>
  </si>
  <si>
    <t xml:space="preserve">D17</t>
  </si>
  <si>
    <t xml:space="preserve">Reel 45-60s (NO CAR IN FRAME)</t>
  </si>
  <si>
    <t xml:space="preserve">5 BULAN</t>
  </si>
  <si>
    <t xml:space="preserve">Customer ni tunggu lima bulan. Ini sebabnya.</t>
  </si>
  <si>
    <t xml:space="preserve">One real spec search that took five months - right grade, colour, options, three near-misses turned down. Why waiting beat settling.</t>
  </si>
  <si>
    <t xml:space="preserve">Spec korang apa? WhatsApp - kami mula cari.</t>
  </si>
  <si>
    <t xml:space="preserve">Unexpected character</t>
  </si>
  <si>
    <t xml:space="preserve">D18</t>
  </si>
  <si>
    <t xml:space="preserve">Reel 60s</t>
  </si>
  <si>
    <t xml:space="preserve">38,000 KM - BETUL KE?</t>
  </si>
  <si>
    <t xml:space="preserve">Meter tunjuk 38,000. Macam mana korang tahu betul?</t>
  </si>
  <si>
    <t xml:space="preserve">Three independent sources cross-check mileage: Japanese auction record, inspection body report, service book. One alone is a claim; three is evidence.</t>
  </si>
  <si>
    <t xml:space="preserve">Save ni sebelum bayar deposit.</t>
  </si>
  <si>
    <t xml:space="preserve">D19</t>
  </si>
  <si>
    <t xml:space="preserve">JALAN PENAMPANG</t>
  </si>
  <si>
    <t xml:space="preserve">Suspension RM___ vs jalan Penampang. Siapa menang?</t>
  </si>
  <si>
    <t xml:space="preserve">Ground clearance, suspension travel, what survives Sabah roads. THE PROVEN RECIPE - this format did 526 views in 13 hours.</t>
  </si>
  <si>
    <t xml:space="preserve">Jalan mana paling teruk kat KK? Comment.</t>
  </si>
  <si>
    <t xml:space="preserve">Split reality</t>
  </si>
  <si>
    <t xml:space="preserve">D20</t>
  </si>
  <si>
    <t xml:space="preserve">FB Live</t>
  </si>
  <si>
    <t xml:space="preserve">(live from dealer lot)</t>
  </si>
  <si>
    <t xml:space="preserve">Live dari lot dealer partner. Bawa soalan korang.</t>
  </si>
  <si>
    <t xml:space="preserve">The DEALER is on camera and does all the talking on inspection, grading and price. Nev only asks buyer questions. Role boundary is the point of this format.</t>
  </si>
  <si>
    <t xml:space="preserve">Comment soalan - kami tanya dealer terus.</t>
  </si>
  <si>
    <t xml:space="preserve">Comments</t>
  </si>
  <si>
    <t xml:space="preserve">D21</t>
  </si>
  <si>
    <t xml:space="preserve">___ UNIT JUMPA OWNER BARU</t>
  </si>
  <si>
    <t xml:space="preserve">Minggu ni: ___ unit jumpa owner baru.</t>
  </si>
  <si>
    <t xml:space="preserve">Weekly social proof. Same shape as D07.</t>
  </si>
  <si>
    <t xml:space="preserve">Poll: unit apa korang nak kami cari?</t>
  </si>
  <si>
    <t xml:space="preserve">D22</t>
  </si>
  <si>
    <t xml:space="preserve">FIRST KAT SABAH</t>
  </si>
  <si>
    <t xml:space="preserve">Unit ni first kat Sabah. Ini apa yang kami kena buat untuk dapat.</t>
  </si>
  <si>
    <t xml:space="preserve">A genuinely rare spec that landed - why it's rare, how many auctions it took, what nearly went wrong. ONLY run when literally true.</t>
  </si>
  <si>
    <t xml:space="preserve">WhatsApp kalau korang mau yang macam ni.</t>
  </si>
  <si>
    <t xml:space="preserve">Forbidden peek</t>
  </si>
  <si>
    <t xml:space="preserve">D23</t>
  </si>
  <si>
    <t xml:space="preserve">5 SOALAN SEBELUM BAYAR DEPOSIT</t>
  </si>
  <si>
    <t xml:space="preserve">Lima soalan. Tanya semua sebelum keluarkan duit.</t>
  </si>
  <si>
    <t xml:space="preserve">The buyer's checklist - five questions that separate a good unit from an expensive lesson. THE highest-save post of the month. Build it screenshot-able.</t>
  </si>
  <si>
    <t xml:space="preserve">Save. Screenshot. Bawa masa pergi tengok kereta.</t>
  </si>
  <si>
    <t xml:space="preserve">SAVES</t>
  </si>
  <si>
    <t xml:space="preserve">Result-first tutorial</t>
  </si>
  <si>
    <t xml:space="preserve">D24</t>
  </si>
  <si>
    <t xml:space="preserve">CABAR KAMI</t>
  </si>
  <si>
    <t xml:space="preserve">Bagi kami spec paling susah korang boleh fikir. Kami cari.</t>
  </si>
  <si>
    <t xml:space="preserve">Open challenge - name an impossible spec, we search the auction system for it live on Saturday. Biggest comment driver of the month AND it writes Saturday's content.</t>
  </si>
  <si>
    <t xml:space="preserve">Comment spec paling gila. Yang paling susah, kami cari hari Sabtu.</t>
  </si>
  <si>
    <t xml:space="preserve">D25</t>
  </si>
  <si>
    <t xml:space="preserve">SAYA BUAT SILAP</t>
  </si>
  <si>
    <t xml:space="preserve">Kereta pertama yang saya import. Saya buat silap.</t>
  </si>
  <si>
    <t xml:space="preserve">An honest mistake, owned. What was missed, what it cost, what changed. Admitting a flaw buys more trust than a minute of praise. The mistake is YOURS, never anyone else's.</t>
  </si>
  <si>
    <t xml:space="preserve">Silap apa korang pernah buat masa beli kereta? Comment.</t>
  </si>
  <si>
    <t xml:space="preserve">Comments + follows</t>
  </si>
  <si>
    <t xml:space="preserve">The wrong answer</t>
  </si>
  <si>
    <t xml:space="preserve">D26</t>
  </si>
  <si>
    <t xml:space="preserve">Still split + long caption</t>
  </si>
  <si>
    <t xml:space="preserve">SATU PERKATAAN</t>
  </si>
  <si>
    <t xml:space="preserve">Alphard Executive Lounge atau Lexus LM? Satu perkataan ja.</t>
  </si>
  <si>
    <t xml:space="preserve">The status comparison this audience actually argues about. Both sourceable. Take a side yourself in the pinned comment.</t>
  </si>
  <si>
    <t xml:space="preserve">Comment satu perkataan.</t>
  </si>
  <si>
    <t xml:space="preserve">D27</t>
  </si>
  <si>
    <t xml:space="preserve">(live, screen + face)</t>
  </si>
  <si>
    <t xml:space="preserve">Kami cari spec paling gila dari comment Rabu. Live.</t>
  </si>
  <si>
    <t xml:space="preserve">Pays off Wednesday. Search the auction system on screen for the audience's impossible specs. Find some, fail on others, say so.</t>
  </si>
  <si>
    <t xml:space="preserve">Comment lagi - kami cari sekarang.</t>
  </si>
  <si>
    <t xml:space="preserve">Live reaction</t>
  </si>
  <si>
    <t xml:space="preserve">D28</t>
  </si>
  <si>
    <t xml:space="preserve">___ UNIT | ___ SEARCH | ___ NEGERI</t>
  </si>
  <si>
    <t xml:space="preserve">Bulan ni: ___ unit, ___ spec search, ___ negeri.</t>
  </si>
  <si>
    <t xml:space="preserve">Monthly roundup. Units landed, searches closed, states delivered to - where 'seluruh Malaysia' gets PROVEN rather than claimed.</t>
  </si>
  <si>
    <t xml:space="preserve">Poll: apa korang nak lagi bulan depan?</t>
  </si>
  <si>
    <t xml:space="preserve">D29</t>
  </si>
  <si>
    <t xml:space="preserve">30 HARI</t>
  </si>
  <si>
    <t xml:space="preserve">Tiga puluh hari. ___ unit. ___ spec search. Ini nombornya.</t>
  </si>
  <si>
    <t xml:space="preserve">Transparent monthly results - units landed, searches open, average wait, and one that didn't work out. Buyer proof AND the quietest dealer pitch you'll make.</t>
  </si>
  <si>
    <t xml:space="preserve">WhatsApp spec korang. Kami mula bulan depan.</t>
  </si>
  <si>
    <t xml:space="preserve">D30</t>
  </si>
  <si>
    <t xml:space="preserve">Carousel 7 cards - NEW PINNED</t>
  </si>
  <si>
    <t xml:space="preserve">AUCTION JEPUN -&gt; DRIVEWAY KORANG</t>
  </si>
  <si>
    <t xml:space="preserve">Berapa lama sebenarnya? Ini timeline penuh.</t>
  </si>
  <si>
    <t xml:space="preserve">The complete journey week by week: auction day, winning bid, inland transport, vessel, port, customs, permit, registration, inspection, handover. Most-asked DM question, answered once, pinned forever. EVERGREEN.</t>
  </si>
  <si>
    <t xml:space="preserve">Save. WhatsApp bila korang dah sedia mula.</t>
  </si>
  <si>
    <t xml:space="preserve">THE MIX — and why it isn't even</t>
  </si>
  <si>
    <t xml:space="preserve">The sourcing machine is the differentiator. Documents and results are the moat.</t>
  </si>
  <si>
    <t xml:space="preserve">Drives SAVES - the mechanism that keeps you present across a 60-day research window.</t>
  </si>
  <si>
    <t xml:space="preserve">Comments are your weakest number (4/month). Seven deliberate attempts to fix it.</t>
  </si>
  <si>
    <t xml:space="preserve">Top-of-funnel reach. Enough to feed the algorithm, not enough to attract the wrong audience.</t>
  </si>
  <si>
    <t xml:space="preserve">Deliberately scarcest. You cannot schedule 8 genuine stories - a manufactured one is worse than none.</t>
  </si>
  <si>
    <t xml:space="preserve">TOTAL</t>
  </si>
  <si>
    <t xml:space="preserve">POST LOG  —  one row per post, filled +24h after publishing</t>
  </si>
  <si>
    <t xml:space="preserve">YELLOW = you type it.  GREY = calculated, don't touch.  The +24h read is the ritual: log it, then write the Verdict — what the FIRST THREE SECONDS did, and why.  Verdict/Action are auto-suggested from the 3-sec rate; override in Notes if you disagree.</t>
  </si>
  <si>
    <t xml:space="preserve">Pillar</t>
  </si>
  <si>
    <t xml:space="preserve">Hook ver (A/B)</t>
  </si>
  <si>
    <t xml:space="preserve">Car / subject</t>
  </si>
  <si>
    <t xml:space="preserve">Dealer partner</t>
  </si>
  <si>
    <t xml:space="preserve">Views</t>
  </si>
  <si>
    <t xml:space="preserve">3-sec views</t>
  </si>
  <si>
    <t xml:space="preserve">Avg watch (s)</t>
  </si>
  <si>
    <t xml:space="preserve">Runtime (s)</t>
  </si>
  <si>
    <t xml:space="preserve">Avg % viewed</t>
  </si>
  <si>
    <t xml:space="preserve">Verdict</t>
  </si>
  <si>
    <t xml:space="preserve">Action</t>
  </si>
  <si>
    <t xml:space="preserve">Notes</t>
  </si>
  <si>
    <t xml:space="preserve">Reel</t>
  </si>
  <si>
    <t xml:space="preserve">Feature x Sabah</t>
  </si>
  <si>
    <t xml:space="preserve">A</t>
  </si>
  <si>
    <t xml:space="preserve">Vellfire 2.5 ZG</t>
  </si>
  <si>
    <t xml:space="preserve">[dealer name]</t>
  </si>
  <si>
    <t xml:space="preserve">EXAMPLE ROW - delete before use. Hook B was the cold-start sound version.</t>
  </si>
  <si>
    <t xml:space="preserve">WEEKLY ROLL-UP  —  fill 'Week start' (Monday), everything else calculates</t>
  </si>
  <si>
    <t xml:space="preserve">Sunday 4pm ritual, before running WEEKLY-TASK.md. Only the yellow cells are typed: the Monday date, outbound comments made, and active dealer partners. Targets follow the 90-day ladder in GROWTH-SYSTEM.md PART 3.</t>
  </si>
  <si>
    <t xml:space="preserve">Week start (Mon)</t>
  </si>
  <si>
    <t xml:space="preserve">Posts</t>
  </si>
  <si>
    <t xml:space="preserve">Saves+Shares</t>
  </si>
  <si>
    <t xml:space="preserve">Net follows</t>
  </si>
  <si>
    <t xml:space="preserve">Outbound comments</t>
  </si>
  <si>
    <t xml:space="preserve">Dealer partners</t>
  </si>
  <si>
    <t xml:space="preserve">North star vs target</t>
  </si>
  <si>
    <t xml:space="preserve">LEADS  —  every DM and WhatsApp conversation, no exceptions</t>
  </si>
  <si>
    <t xml:space="preserve">Log on arrival, update at +7 days. The Timing question is what sorts buyers from browsers. Days open flags anything stale: &gt;7 days with no outcome turns red. Malaysian car buyers research for ~2 months, so a 'not yet' is not a no - it is a follow-up date.</t>
  </si>
  <si>
    <t xml:space="preserve">Date in</t>
  </si>
  <si>
    <t xml:space="preserve">Name</t>
  </si>
  <si>
    <t xml:space="preserve">Source post (date)</t>
  </si>
  <si>
    <t xml:space="preserve">Channel</t>
  </si>
  <si>
    <t xml:space="preserve">Model wanted</t>
  </si>
  <si>
    <t xml:space="preserve">Budget / monthly</t>
  </si>
  <si>
    <t xml:space="preserve">Timing</t>
  </si>
  <si>
    <t xml:space="preserve">Temperature</t>
  </si>
  <si>
    <t xml:space="preserve">Dealer routed</t>
  </si>
  <si>
    <t xml:space="preserve">Intro made?</t>
  </si>
  <si>
    <t xml:space="preserve">Outcome</t>
  </si>
  <si>
    <t xml:space="preserve">Follow-up date</t>
  </si>
  <si>
    <t xml:space="preserve">Days open</t>
  </si>
  <si>
    <t xml:space="preserve">[name]</t>
  </si>
  <si>
    <t xml:space="preserve">2026-08-25</t>
  </si>
  <si>
    <t xml:space="preserve">Messenger</t>
  </si>
  <si>
    <t xml:space="preserve">Vellfire 2.5</t>
  </si>
  <si>
    <t xml:space="preserve">RM1,800/bln</t>
  </si>
  <si>
    <t xml:space="preserve">Dalam 2 minggu</t>
  </si>
  <si>
    <t xml:space="preserve">HOT (&lt;2 weeks)</t>
  </si>
  <si>
    <t xml:space="preserve">Yes</t>
  </si>
  <si>
    <t xml:space="preserve">Viewing booked</t>
  </si>
  <si>
    <t xml:space="preserve">EXAMPLE ROW - delete before use. 3-way WhatsApp group created.</t>
  </si>
  <si>
    <t xml:space="preserve">EXPERIMENTS  —  hook A/B tests and the weekly out-of-niche Experiment day</t>
  </si>
  <si>
    <t xml:space="preserve">One row per test. A hook style is BANKED into PLAYBOOK.md after it beats 25% twice. An Experiment-day format becomes permanent when it beats the 4-week median of the slot it displaced. Write the hypothesis BEFORE the result - a hypothesis written afterwards is just a description.</t>
  </si>
  <si>
    <t xml:space="preserve">Type</t>
  </si>
  <si>
    <t xml:space="preserve">What was tested</t>
  </si>
  <si>
    <t xml:space="preserve">Hypothesis (written first)</t>
  </si>
  <si>
    <t xml:space="preserve">Control / A result</t>
  </si>
  <si>
    <t xml:space="preserve">Variant / B result</t>
  </si>
  <si>
    <t xml:space="preserve">Winner</t>
  </si>
  <si>
    <t xml:space="preserve">Ported to PLAYBOOK?</t>
  </si>
  <si>
    <t xml:space="preserve">Hook A/B</t>
  </si>
  <si>
    <t xml:space="preserve">Price shock vs Cold sound open</t>
  </si>
  <si>
    <t xml:space="preserve">A cold engine-start with no music holds longer than a price card, because sound-off viewers still see motion</t>
  </si>
  <si>
    <t xml:space="preserve">14% 3-sec</t>
  </si>
  <si>
    <t xml:space="preserve">EXAMPLE - delete</t>
  </si>
  <si>
    <t xml:space="preserve">B</t>
  </si>
  <si>
    <t xml:space="preserve">EXAMPLE ROW - delete before use</t>
  </si>
  <si>
    <t xml:space="preserve">Pending</t>
  </si>
  <si>
    <t xml:space="preserve">TARGETS &amp; BASELINE  —  the 90-day ladder. Edit here; Weekly reads it.</t>
  </si>
  <si>
    <t xml:space="preserve">Baseline is your own recorded data (Jul 21 - Aug 17 2026, 28 days) from urban-auto-hub/WEEKLY-TASK.md. Not an estimate. The Weekly tab's 'North star vs target' column reads cell B4.</t>
  </si>
  <si>
    <t xml:space="preserve">Day 30 target</t>
  </si>
  <si>
    <t xml:space="preserve">Day 60 target</t>
  </si>
  <si>
    <t xml:space="preserve">Day 90 target</t>
  </si>
  <si>
    <t xml:space="preserve">Baseline (Jul21-Aug17)</t>
  </si>
  <si>
    <t xml:space="preserve">Note</t>
  </si>
  <si>
    <t xml:space="preserve">3-sec rate  ** NORTH STAR **</t>
  </si>
  <si>
    <t xml:space="preserve">Everything else is downstream of this. Healthy is 25-35%.</t>
  </si>
  <si>
    <t xml:space="preserve">Posts published / week</t>
  </si>
  <si>
    <t xml:space="preserve">Cadence sits inside the healthy 3-5 feed + 2-4 Reels band.</t>
  </si>
  <si>
    <t xml:space="preserve">Outbound comments / week</t>
  </si>
  <si>
    <t xml:space="preserve">The only INPUT metric here - the one you fully control.</t>
  </si>
  <si>
    <t xml:space="preserve">Comments received / month</t>
  </si>
  <si>
    <t xml:space="preserve">Lower the answer cost: one word or one letter.</t>
  </si>
  <si>
    <t xml:space="preserve">Saves + shares / month</t>
  </si>
  <si>
    <t xml:space="preserve">track</t>
  </si>
  <si>
    <t xml:space="preserve">not tracked</t>
  </si>
  <si>
    <t xml:space="preserve">Strongest Reels ranking signals.</t>
  </si>
  <si>
    <t xml:space="preserve">Net follows / month</t>
  </si>
  <si>
    <t xml:space="preserve">Baseline was NEGATIVE - zero acquisition, not churn.</t>
  </si>
  <si>
    <t xml:space="preserve">WhatsApp convos / month</t>
  </si>
  <si>
    <t xml:space="preserve">The money metric. Fix the CTA friction first.</t>
  </si>
  <si>
    <t xml:space="preserve">Active dealer partners</t>
  </si>
  <si>
    <t xml:space="preserve">?</t>
  </si>
  <si>
    <t xml:space="preserve">Approach with a free sample, then quote.</t>
  </si>
  <si>
    <t xml:space="preserve">DECISION RULES</t>
  </si>
  <si>
    <t xml:space="preserve">SCALE a format</t>
  </si>
  <si>
    <t xml:space="preserve">3-sec &gt;= 25% on 3 consecutive runs  -&gt;  +1 slot per week</t>
  </si>
  <si>
    <t xml:space="preserve">KILL a format</t>
  </si>
  <si>
    <t xml:space="preserve">3-sec &lt; 15% on 3 consecutive runs  -&gt;  drop it, reassign the slot</t>
  </si>
  <si>
    <t xml:space="preserve">BANK a hook style</t>
  </si>
  <si>
    <t xml:space="preserve">&gt;= 25% twice  -&gt;  PLAYBOOK.md 'Patterns added'</t>
  </si>
  <si>
    <t xml:space="preserve">REPOST with hook B</t>
  </si>
  <si>
    <t xml:space="preserve">3-sec &lt; 20% at 24h  -&gt;  delete, repost with version B at the next slot</t>
  </si>
  <si>
    <t xml:space="preserve">An EXPERIMENT wins</t>
  </si>
  <si>
    <t xml:space="preserve">beats the 4-week median of the slot it displaced  -&gt;  becomes permanent</t>
  </si>
  <si>
    <t xml:space="preserve">BOOST a post</t>
  </si>
  <si>
    <t xml:space="preserve">only after 48h organic AND 3-sec &gt;= 30% AND &gt;= 1 convo. Never a loser.</t>
  </si>
  <si>
    <t xml:space="preserve">DROP a dealer</t>
  </si>
  <si>
    <t xml:space="preserve">3 months, zero enquiries routed, and no document access</t>
  </si>
  <si>
    <t xml:space="preserve">REWRITE the strategy</t>
  </si>
  <si>
    <t xml:space="preserve">4 consecutive weeks with no movement on the north star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</si>
</sst>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\ dd\ mmm"/>
    <numFmt numFmtId="166" formatCode="yyyy\-mm\-dd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11D48"/>
        <bgColor rgb="FF991B1B"/>
      </patternFill>
    </fill>
    <fill>
      <patternFill patternType="solid">
        <fgColor rgb="FF2A2F3A"/>
        <bgColor rgb="FF333300"/>
      </patternFill>
    </fill>
    <fill>
      <patternFill patternType="solid">
        <fgColor rgb="FFF4F6FA"/>
        <bgColor rgb="FFEEF2F7"/>
      </patternFill>
    </fill>
    <fill>
      <patternFill patternType="solid">
        <fgColor rgb="FFFFF9DB"/>
        <bgColor rgb="FFFEF3C7"/>
      </patternFill>
    </fill>
    <fill>
      <patternFill patternType="solid">
        <fgColor rgb="FF3B82F6"/>
        <bgColor rgb="FF0066CC"/>
      </patternFill>
    </fill>
    <fill>
      <patternFill patternType="solid">
        <fgColor rgb="FF8B5CF6"/>
        <bgColor rgb="FF808080"/>
      </patternFill>
    </fill>
    <fill>
      <patternFill patternType="solid">
        <fgColor rgb="FF10B981"/>
        <bgColor rgb="FF33CCCC"/>
      </patternFill>
    </fill>
    <fill>
      <patternFill patternType="solid">
        <fgColor rgb="FFF59E0B"/>
        <bgColor rgb="FFFFCC00"/>
      </patternFill>
    </fill>
    <fill>
      <patternFill patternType="solid">
        <fgColor rgb="FFEEF2F7"/>
        <bgColor rgb="FFF4F6FA"/>
      </patternFill>
    </fill>
    <fill>
      <patternFill patternType="solid">
        <fgColor rgb="FFFEF3C7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ill>
        <patternFill>
          <bgColor rgb="FFD1FAE5"/>
        </patternFill>
      </fill>
    </dxf>
    <dxf>
      <fill>
        <patternFill>
          <bgColor rgb="FFFEE2E2"/>
        </patternFill>
      </fill>
    </dxf>
    <dxf>
      <font>
        <name val="Arial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8B5CF6"/>
      <rgbColor rgb="FFB45309"/>
      <rgbColor rgb="FFFFF9DB"/>
      <rgbColor rgb="FFEEF2F7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D1FAE5"/>
      <rgbColor rgb="FFFEF3C7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59E0B"/>
      <rgbColor rgb="FFFF6600"/>
      <rgbColor rgb="FF555555"/>
      <rgbColor rgb="FF969696"/>
      <rgbColor rgb="FF003366"/>
      <rgbColor rgb="FF10B981"/>
      <rgbColor rgb="FF003300"/>
      <rgbColor rgb="FF333300"/>
      <rgbColor rgb="FF991B1B"/>
      <rgbColor rgb="FF993366"/>
      <rgbColor rgb="FF333399"/>
      <rgbColor rgb="FF2A2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8"/>
    <col collapsed="false" customWidth="true" hidden="false" outlineLevel="0" max="7" min="7" style="0" width="52"/>
    <col collapsed="false" customWidth="true" hidden="false" outlineLevel="0" max="8" min="8" style="0" width="38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8"/>
    <col collapsed="false" customWidth="true" hidden="false" outlineLevel="0" max="13" min="12" style="0" width="9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61.5" hidden="false" customHeight="true" outlineLevel="0" collapsed="false">
      <c r="A4" s="4" t="s">
        <v>15</v>
      </c>
      <c r="B4" s="5" t="n">
        <v>46258</v>
      </c>
      <c r="C4" s="6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8"/>
      <c r="L4" s="8"/>
      <c r="M4" s="8"/>
    </row>
    <row r="5" customFormat="false" ht="61.5" hidden="false" customHeight="true" outlineLevel="0" collapsed="false">
      <c r="A5" s="4" t="s">
        <v>24</v>
      </c>
      <c r="B5" s="5" t="n">
        <v>46259</v>
      </c>
      <c r="C5" s="9" t="s">
        <v>25</v>
      </c>
      <c r="D5" s="10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7" t="s">
        <v>22</v>
      </c>
      <c r="J5" s="7" t="s">
        <v>31</v>
      </c>
      <c r="K5" s="8"/>
      <c r="L5" s="8"/>
      <c r="M5" s="8"/>
    </row>
    <row r="6" customFormat="false" ht="61.5" hidden="false" customHeight="true" outlineLevel="0" collapsed="false">
      <c r="A6" s="4" t="s">
        <v>32</v>
      </c>
      <c r="B6" s="5" t="n">
        <v>46260</v>
      </c>
      <c r="C6" s="11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  <c r="J6" s="7" t="s">
        <v>40</v>
      </c>
      <c r="K6" s="8"/>
      <c r="L6" s="8"/>
      <c r="M6" s="8"/>
    </row>
    <row r="7" customFormat="false" ht="61.5" hidden="false" customHeight="true" outlineLevel="0" collapsed="false">
      <c r="A7" s="4" t="s">
        <v>41</v>
      </c>
      <c r="B7" s="5" t="n">
        <v>46261</v>
      </c>
      <c r="C7" s="12" t="s">
        <v>42</v>
      </c>
      <c r="D7" s="7" t="s">
        <v>43</v>
      </c>
      <c r="E7" s="7" t="s">
        <v>44</v>
      </c>
      <c r="F7" s="7" t="s">
        <v>45</v>
      </c>
      <c r="G7" s="7" t="s">
        <v>46</v>
      </c>
      <c r="H7" s="7" t="s">
        <v>47</v>
      </c>
      <c r="I7" s="7" t="s">
        <v>48</v>
      </c>
      <c r="J7" s="7" t="s">
        <v>49</v>
      </c>
      <c r="K7" s="8"/>
      <c r="L7" s="8"/>
      <c r="M7" s="8"/>
    </row>
    <row r="8" customFormat="false" ht="61.5" hidden="false" customHeight="true" outlineLevel="0" collapsed="false">
      <c r="A8" s="4" t="s">
        <v>50</v>
      </c>
      <c r="B8" s="5" t="n">
        <v>46262</v>
      </c>
      <c r="C8" s="13" t="s">
        <v>51</v>
      </c>
      <c r="D8" s="7" t="s">
        <v>52</v>
      </c>
      <c r="E8" s="7" t="s">
        <v>53</v>
      </c>
      <c r="F8" s="7" t="s">
        <v>54</v>
      </c>
      <c r="G8" s="7" t="s">
        <v>55</v>
      </c>
      <c r="H8" s="7" t="s">
        <v>56</v>
      </c>
      <c r="I8" s="7" t="s">
        <v>57</v>
      </c>
      <c r="J8" s="7" t="s">
        <v>58</v>
      </c>
      <c r="K8" s="8"/>
      <c r="L8" s="8"/>
      <c r="M8" s="8"/>
    </row>
    <row r="9" customFormat="false" ht="61.5" hidden="false" customHeight="true" outlineLevel="0" collapsed="false">
      <c r="A9" s="4" t="s">
        <v>59</v>
      </c>
      <c r="B9" s="5" t="n">
        <v>46263</v>
      </c>
      <c r="C9" s="6" t="s">
        <v>16</v>
      </c>
      <c r="D9" s="7" t="s">
        <v>60</v>
      </c>
      <c r="E9" s="7" t="s">
        <v>61</v>
      </c>
      <c r="F9" s="7" t="s">
        <v>62</v>
      </c>
      <c r="G9" s="7" t="s">
        <v>63</v>
      </c>
      <c r="H9" s="7" t="s">
        <v>64</v>
      </c>
      <c r="I9" s="7" t="s">
        <v>65</v>
      </c>
      <c r="J9" s="7" t="s">
        <v>66</v>
      </c>
      <c r="K9" s="8"/>
      <c r="L9" s="8"/>
      <c r="M9" s="8"/>
    </row>
    <row r="10" customFormat="false" ht="61.5" hidden="false" customHeight="true" outlineLevel="0" collapsed="false">
      <c r="A10" s="4" t="s">
        <v>67</v>
      </c>
      <c r="B10" s="5" t="n">
        <v>46264</v>
      </c>
      <c r="C10" s="13" t="s">
        <v>51</v>
      </c>
      <c r="D10" s="7" t="s">
        <v>68</v>
      </c>
      <c r="E10" s="7" t="s">
        <v>69</v>
      </c>
      <c r="F10" s="7" t="s">
        <v>70</v>
      </c>
      <c r="G10" s="7" t="s">
        <v>71</v>
      </c>
      <c r="H10" s="7" t="s">
        <v>72</v>
      </c>
      <c r="I10" s="7" t="s">
        <v>73</v>
      </c>
      <c r="J10" s="7" t="s">
        <v>74</v>
      </c>
      <c r="K10" s="8"/>
      <c r="L10" s="8"/>
      <c r="M10" s="8"/>
    </row>
    <row r="11" customFormat="false" ht="61.5" hidden="false" customHeight="true" outlineLevel="0" collapsed="false">
      <c r="A11" s="4" t="s">
        <v>75</v>
      </c>
      <c r="B11" s="5" t="n">
        <v>46265</v>
      </c>
      <c r="C11" s="9" t="s">
        <v>25</v>
      </c>
      <c r="D11" s="7" t="s">
        <v>17</v>
      </c>
      <c r="E11" s="7" t="s">
        <v>76</v>
      </c>
      <c r="F11" s="7" t="s">
        <v>77</v>
      </c>
      <c r="G11" s="7" t="s">
        <v>78</v>
      </c>
      <c r="H11" s="7" t="s">
        <v>79</v>
      </c>
      <c r="I11" s="7" t="s">
        <v>22</v>
      </c>
      <c r="J11" s="7" t="s">
        <v>31</v>
      </c>
      <c r="K11" s="8"/>
      <c r="L11" s="8"/>
      <c r="M11" s="8"/>
    </row>
    <row r="12" customFormat="false" ht="61.5" hidden="false" customHeight="true" outlineLevel="0" collapsed="false">
      <c r="A12" s="4" t="s">
        <v>80</v>
      </c>
      <c r="B12" s="5" t="n">
        <v>46266</v>
      </c>
      <c r="C12" s="6" t="s">
        <v>16</v>
      </c>
      <c r="D12" s="10" t="s">
        <v>81</v>
      </c>
      <c r="E12" s="7" t="s">
        <v>82</v>
      </c>
      <c r="F12" s="7" t="s">
        <v>83</v>
      </c>
      <c r="G12" s="7" t="s">
        <v>84</v>
      </c>
      <c r="H12" s="7" t="s">
        <v>85</v>
      </c>
      <c r="I12" s="7" t="s">
        <v>86</v>
      </c>
      <c r="J12" s="7" t="s">
        <v>74</v>
      </c>
      <c r="K12" s="8"/>
      <c r="L12" s="8"/>
      <c r="M12" s="8"/>
    </row>
    <row r="13" customFormat="false" ht="61.5" hidden="false" customHeight="true" outlineLevel="0" collapsed="false">
      <c r="A13" s="4" t="s">
        <v>87</v>
      </c>
      <c r="B13" s="5" t="n">
        <v>46267</v>
      </c>
      <c r="C13" s="11" t="s">
        <v>33</v>
      </c>
      <c r="D13" s="7" t="s">
        <v>34</v>
      </c>
      <c r="E13" s="7" t="s">
        <v>88</v>
      </c>
      <c r="F13" s="7" t="s">
        <v>89</v>
      </c>
      <c r="G13" s="7" t="s">
        <v>90</v>
      </c>
      <c r="H13" s="7" t="s">
        <v>91</v>
      </c>
      <c r="I13" s="7" t="s">
        <v>39</v>
      </c>
      <c r="J13" s="7" t="s">
        <v>92</v>
      </c>
      <c r="K13" s="8"/>
      <c r="L13" s="8"/>
      <c r="M13" s="8"/>
    </row>
    <row r="14" customFormat="false" ht="61.5" hidden="false" customHeight="true" outlineLevel="0" collapsed="false">
      <c r="A14" s="4" t="s">
        <v>93</v>
      </c>
      <c r="B14" s="5" t="n">
        <v>46268</v>
      </c>
      <c r="C14" s="9" t="s">
        <v>25</v>
      </c>
      <c r="D14" s="7" t="s">
        <v>17</v>
      </c>
      <c r="E14" s="7" t="s">
        <v>94</v>
      </c>
      <c r="F14" s="7" t="s">
        <v>95</v>
      </c>
      <c r="G14" s="7" t="s">
        <v>96</v>
      </c>
      <c r="H14" s="7" t="s">
        <v>97</v>
      </c>
      <c r="I14" s="7" t="s">
        <v>22</v>
      </c>
      <c r="J14" s="7" t="s">
        <v>98</v>
      </c>
      <c r="K14" s="8"/>
      <c r="L14" s="8"/>
      <c r="M14" s="8"/>
    </row>
    <row r="15" customFormat="false" ht="61.5" hidden="false" customHeight="true" outlineLevel="0" collapsed="false">
      <c r="A15" s="4" t="s">
        <v>99</v>
      </c>
      <c r="B15" s="5" t="n">
        <v>46269</v>
      </c>
      <c r="C15" s="13" t="s">
        <v>51</v>
      </c>
      <c r="D15" s="7" t="s">
        <v>100</v>
      </c>
      <c r="E15" s="7" t="s">
        <v>101</v>
      </c>
      <c r="F15" s="7" t="s">
        <v>102</v>
      </c>
      <c r="G15" s="7" t="s">
        <v>103</v>
      </c>
      <c r="H15" s="7" t="s">
        <v>104</v>
      </c>
      <c r="I15" s="7" t="s">
        <v>57</v>
      </c>
      <c r="J15" s="7" t="s">
        <v>105</v>
      </c>
      <c r="K15" s="8"/>
      <c r="L15" s="8"/>
      <c r="M15" s="8"/>
    </row>
    <row r="16" customFormat="false" ht="61.5" hidden="false" customHeight="true" outlineLevel="0" collapsed="false">
      <c r="A16" s="4" t="s">
        <v>106</v>
      </c>
      <c r="B16" s="5" t="n">
        <v>46270</v>
      </c>
      <c r="C16" s="12" t="s">
        <v>42</v>
      </c>
      <c r="D16" s="7" t="s">
        <v>107</v>
      </c>
      <c r="E16" s="7" t="s">
        <v>108</v>
      </c>
      <c r="F16" s="7" t="s">
        <v>109</v>
      </c>
      <c r="G16" s="7" t="s">
        <v>110</v>
      </c>
      <c r="H16" s="7" t="s">
        <v>111</v>
      </c>
      <c r="I16" s="7" t="s">
        <v>48</v>
      </c>
      <c r="J16" s="7" t="s">
        <v>49</v>
      </c>
      <c r="K16" s="8"/>
      <c r="L16" s="8"/>
      <c r="M16" s="8"/>
    </row>
    <row r="17" customFormat="false" ht="61.5" hidden="false" customHeight="true" outlineLevel="0" collapsed="false">
      <c r="A17" s="4" t="s">
        <v>112</v>
      </c>
      <c r="B17" s="5" t="n">
        <v>46271</v>
      </c>
      <c r="C17" s="13" t="s">
        <v>51</v>
      </c>
      <c r="D17" s="7" t="s">
        <v>68</v>
      </c>
      <c r="E17" s="7" t="s">
        <v>113</v>
      </c>
      <c r="F17" s="7" t="s">
        <v>114</v>
      </c>
      <c r="G17" s="7" t="s">
        <v>115</v>
      </c>
      <c r="H17" s="7" t="s">
        <v>116</v>
      </c>
      <c r="I17" s="7" t="s">
        <v>73</v>
      </c>
      <c r="J17" s="7" t="s">
        <v>74</v>
      </c>
      <c r="K17" s="8"/>
      <c r="L17" s="8"/>
      <c r="M17" s="8"/>
    </row>
    <row r="18" customFormat="false" ht="61.5" hidden="false" customHeight="true" outlineLevel="0" collapsed="false">
      <c r="A18" s="4" t="s">
        <v>117</v>
      </c>
      <c r="B18" s="5" t="n">
        <v>46272</v>
      </c>
      <c r="C18" s="9" t="s">
        <v>25</v>
      </c>
      <c r="D18" s="7" t="s">
        <v>17</v>
      </c>
      <c r="E18" s="7" t="s">
        <v>118</v>
      </c>
      <c r="F18" s="7" t="s">
        <v>119</v>
      </c>
      <c r="G18" s="7" t="s">
        <v>120</v>
      </c>
      <c r="H18" s="7" t="s">
        <v>121</v>
      </c>
      <c r="I18" s="7" t="s">
        <v>22</v>
      </c>
      <c r="J18" s="7" t="s">
        <v>105</v>
      </c>
      <c r="K18" s="8"/>
      <c r="L18" s="8"/>
      <c r="M18" s="8"/>
    </row>
    <row r="19" customFormat="false" ht="61.5" hidden="false" customHeight="true" outlineLevel="0" collapsed="false">
      <c r="A19" s="4" t="s">
        <v>122</v>
      </c>
      <c r="B19" s="5" t="n">
        <v>46273</v>
      </c>
      <c r="C19" s="6" t="s">
        <v>16</v>
      </c>
      <c r="D19" s="10" t="s">
        <v>81</v>
      </c>
      <c r="E19" s="7" t="s">
        <v>123</v>
      </c>
      <c r="F19" s="7" t="s">
        <v>124</v>
      </c>
      <c r="G19" s="7" t="s">
        <v>125</v>
      </c>
      <c r="H19" s="7" t="s">
        <v>85</v>
      </c>
      <c r="I19" s="7" t="s">
        <v>86</v>
      </c>
      <c r="J19" s="7" t="s">
        <v>74</v>
      </c>
      <c r="K19" s="8"/>
      <c r="L19" s="8"/>
      <c r="M19" s="8"/>
    </row>
    <row r="20" customFormat="false" ht="61.5" hidden="false" customHeight="true" outlineLevel="0" collapsed="false">
      <c r="A20" s="4" t="s">
        <v>126</v>
      </c>
      <c r="B20" s="5" t="n">
        <v>46274</v>
      </c>
      <c r="C20" s="12" t="s">
        <v>42</v>
      </c>
      <c r="D20" s="7" t="s">
        <v>127</v>
      </c>
      <c r="E20" s="7" t="s">
        <v>128</v>
      </c>
      <c r="F20" s="7" t="s">
        <v>129</v>
      </c>
      <c r="G20" s="7" t="s">
        <v>130</v>
      </c>
      <c r="H20" s="7" t="s">
        <v>131</v>
      </c>
      <c r="I20" s="7" t="s">
        <v>86</v>
      </c>
      <c r="J20" s="7" t="s">
        <v>132</v>
      </c>
      <c r="K20" s="8"/>
      <c r="L20" s="8"/>
      <c r="M20" s="8"/>
    </row>
    <row r="21" customFormat="false" ht="61.5" hidden="false" customHeight="true" outlineLevel="0" collapsed="false">
      <c r="A21" s="4" t="s">
        <v>133</v>
      </c>
      <c r="B21" s="5" t="n">
        <v>46275</v>
      </c>
      <c r="C21" s="9" t="s">
        <v>25</v>
      </c>
      <c r="D21" s="7" t="s">
        <v>134</v>
      </c>
      <c r="E21" s="7" t="s">
        <v>135</v>
      </c>
      <c r="F21" s="7" t="s">
        <v>136</v>
      </c>
      <c r="G21" s="7" t="s">
        <v>137</v>
      </c>
      <c r="H21" s="7" t="s">
        <v>138</v>
      </c>
      <c r="I21" s="7" t="s">
        <v>22</v>
      </c>
      <c r="J21" s="7" t="s">
        <v>105</v>
      </c>
      <c r="K21" s="8"/>
      <c r="L21" s="8"/>
      <c r="M21" s="8"/>
    </row>
    <row r="22" customFormat="false" ht="61.5" hidden="false" customHeight="true" outlineLevel="0" collapsed="false">
      <c r="A22" s="4" t="s">
        <v>139</v>
      </c>
      <c r="B22" s="5" t="n">
        <v>46276</v>
      </c>
      <c r="C22" s="11" t="s">
        <v>33</v>
      </c>
      <c r="D22" s="7" t="s">
        <v>100</v>
      </c>
      <c r="E22" s="7" t="s">
        <v>140</v>
      </c>
      <c r="F22" s="7" t="s">
        <v>141</v>
      </c>
      <c r="G22" s="7" t="s">
        <v>142</v>
      </c>
      <c r="H22" s="7" t="s">
        <v>143</v>
      </c>
      <c r="I22" s="7" t="s">
        <v>39</v>
      </c>
      <c r="J22" s="7" t="s">
        <v>144</v>
      </c>
      <c r="K22" s="8"/>
      <c r="L22" s="8"/>
      <c r="M22" s="8"/>
    </row>
    <row r="23" customFormat="false" ht="61.5" hidden="false" customHeight="true" outlineLevel="0" collapsed="false">
      <c r="A23" s="4" t="s">
        <v>145</v>
      </c>
      <c r="B23" s="5" t="n">
        <v>46277</v>
      </c>
      <c r="C23" s="6" t="s">
        <v>16</v>
      </c>
      <c r="D23" s="7" t="s">
        <v>146</v>
      </c>
      <c r="E23" s="7" t="s">
        <v>147</v>
      </c>
      <c r="F23" s="7" t="s">
        <v>148</v>
      </c>
      <c r="G23" s="7" t="s">
        <v>149</v>
      </c>
      <c r="H23" s="7" t="s">
        <v>150</v>
      </c>
      <c r="I23" s="7" t="s">
        <v>151</v>
      </c>
      <c r="J23" s="7" t="s">
        <v>66</v>
      </c>
      <c r="K23" s="8"/>
      <c r="L23" s="8"/>
      <c r="M23" s="8"/>
    </row>
    <row r="24" customFormat="false" ht="61.5" hidden="false" customHeight="true" outlineLevel="0" collapsed="false">
      <c r="A24" s="4" t="s">
        <v>152</v>
      </c>
      <c r="B24" s="5" t="n">
        <v>46278</v>
      </c>
      <c r="C24" s="13" t="s">
        <v>51</v>
      </c>
      <c r="D24" s="7" t="s">
        <v>68</v>
      </c>
      <c r="E24" s="7" t="s">
        <v>153</v>
      </c>
      <c r="F24" s="7" t="s">
        <v>154</v>
      </c>
      <c r="G24" s="7" t="s">
        <v>155</v>
      </c>
      <c r="H24" s="7" t="s">
        <v>156</v>
      </c>
      <c r="I24" s="7" t="s">
        <v>73</v>
      </c>
      <c r="J24" s="7" t="s">
        <v>74</v>
      </c>
      <c r="K24" s="8"/>
      <c r="L24" s="8"/>
      <c r="M24" s="8"/>
    </row>
    <row r="25" customFormat="false" ht="61.5" hidden="false" customHeight="true" outlineLevel="0" collapsed="false">
      <c r="A25" s="4" t="s">
        <v>157</v>
      </c>
      <c r="B25" s="5" t="n">
        <v>46279</v>
      </c>
      <c r="C25" s="6" t="s">
        <v>16</v>
      </c>
      <c r="D25" s="7" t="s">
        <v>17</v>
      </c>
      <c r="E25" s="7" t="s">
        <v>158</v>
      </c>
      <c r="F25" s="7" t="s">
        <v>159</v>
      </c>
      <c r="G25" s="7" t="s">
        <v>160</v>
      </c>
      <c r="H25" s="7" t="s">
        <v>161</v>
      </c>
      <c r="I25" s="7" t="s">
        <v>86</v>
      </c>
      <c r="J25" s="7" t="s">
        <v>162</v>
      </c>
      <c r="K25" s="8"/>
      <c r="L25" s="8"/>
      <c r="M25" s="8"/>
    </row>
    <row r="26" customFormat="false" ht="61.5" hidden="false" customHeight="true" outlineLevel="0" collapsed="false">
      <c r="A26" s="4" t="s">
        <v>163</v>
      </c>
      <c r="B26" s="5" t="n">
        <v>46280</v>
      </c>
      <c r="C26" s="9" t="s">
        <v>25</v>
      </c>
      <c r="D26" s="10" t="s">
        <v>26</v>
      </c>
      <c r="E26" s="7" t="s">
        <v>164</v>
      </c>
      <c r="F26" s="7" t="s">
        <v>165</v>
      </c>
      <c r="G26" s="7" t="s">
        <v>166</v>
      </c>
      <c r="H26" s="7" t="s">
        <v>167</v>
      </c>
      <c r="I26" s="7" t="s">
        <v>168</v>
      </c>
      <c r="J26" s="7" t="s">
        <v>169</v>
      </c>
      <c r="K26" s="8"/>
      <c r="L26" s="8"/>
      <c r="M26" s="8"/>
    </row>
    <row r="27" customFormat="false" ht="61.5" hidden="false" customHeight="true" outlineLevel="0" collapsed="false">
      <c r="A27" s="4" t="s">
        <v>170</v>
      </c>
      <c r="B27" s="5" t="n">
        <v>46281</v>
      </c>
      <c r="C27" s="11" t="s">
        <v>33</v>
      </c>
      <c r="D27" s="7" t="s">
        <v>34</v>
      </c>
      <c r="E27" s="7" t="s">
        <v>171</v>
      </c>
      <c r="F27" s="7" t="s">
        <v>172</v>
      </c>
      <c r="G27" s="7" t="s">
        <v>173</v>
      </c>
      <c r="H27" s="7" t="s">
        <v>174</v>
      </c>
      <c r="I27" s="7" t="s">
        <v>57</v>
      </c>
      <c r="J27" s="7" t="s">
        <v>66</v>
      </c>
      <c r="K27" s="8"/>
      <c r="L27" s="8"/>
      <c r="M27" s="8"/>
    </row>
    <row r="28" customFormat="false" ht="61.5" hidden="false" customHeight="true" outlineLevel="0" collapsed="false">
      <c r="A28" s="4" t="s">
        <v>175</v>
      </c>
      <c r="B28" s="5" t="n">
        <v>46282</v>
      </c>
      <c r="C28" s="12" t="s">
        <v>42</v>
      </c>
      <c r="D28" s="7" t="s">
        <v>43</v>
      </c>
      <c r="E28" s="7" t="s">
        <v>176</v>
      </c>
      <c r="F28" s="7" t="s">
        <v>177</v>
      </c>
      <c r="G28" s="7" t="s">
        <v>178</v>
      </c>
      <c r="H28" s="7" t="s">
        <v>179</v>
      </c>
      <c r="I28" s="7" t="s">
        <v>180</v>
      </c>
      <c r="J28" s="7" t="s">
        <v>181</v>
      </c>
      <c r="K28" s="8"/>
      <c r="L28" s="8"/>
      <c r="M28" s="8"/>
    </row>
    <row r="29" customFormat="false" ht="61.5" hidden="false" customHeight="true" outlineLevel="0" collapsed="false">
      <c r="A29" s="4" t="s">
        <v>182</v>
      </c>
      <c r="B29" s="5" t="n">
        <v>46283</v>
      </c>
      <c r="C29" s="13" t="s">
        <v>51</v>
      </c>
      <c r="D29" s="7" t="s">
        <v>183</v>
      </c>
      <c r="E29" s="7" t="s">
        <v>184</v>
      </c>
      <c r="F29" s="7" t="s">
        <v>185</v>
      </c>
      <c r="G29" s="7" t="s">
        <v>186</v>
      </c>
      <c r="H29" s="7" t="s">
        <v>187</v>
      </c>
      <c r="I29" s="7" t="s">
        <v>57</v>
      </c>
      <c r="J29" s="7" t="s">
        <v>58</v>
      </c>
      <c r="K29" s="8"/>
      <c r="L29" s="8"/>
      <c r="M29" s="8"/>
    </row>
    <row r="30" customFormat="false" ht="61.5" hidden="false" customHeight="true" outlineLevel="0" collapsed="false">
      <c r="A30" s="4" t="s">
        <v>188</v>
      </c>
      <c r="B30" s="5" t="n">
        <v>46284</v>
      </c>
      <c r="C30" s="11" t="s">
        <v>33</v>
      </c>
      <c r="D30" s="7" t="s">
        <v>146</v>
      </c>
      <c r="E30" s="7" t="s">
        <v>189</v>
      </c>
      <c r="F30" s="7" t="s">
        <v>190</v>
      </c>
      <c r="G30" s="7" t="s">
        <v>191</v>
      </c>
      <c r="H30" s="7" t="s">
        <v>192</v>
      </c>
      <c r="I30" s="7" t="s">
        <v>65</v>
      </c>
      <c r="J30" s="7" t="s">
        <v>193</v>
      </c>
      <c r="K30" s="8"/>
      <c r="L30" s="8"/>
      <c r="M30" s="8"/>
    </row>
    <row r="31" customFormat="false" ht="61.5" hidden="false" customHeight="true" outlineLevel="0" collapsed="false">
      <c r="A31" s="4" t="s">
        <v>194</v>
      </c>
      <c r="B31" s="5" t="n">
        <v>46285</v>
      </c>
      <c r="C31" s="13" t="s">
        <v>51</v>
      </c>
      <c r="D31" s="7" t="s">
        <v>68</v>
      </c>
      <c r="E31" s="7" t="s">
        <v>195</v>
      </c>
      <c r="F31" s="7" t="s">
        <v>196</v>
      </c>
      <c r="G31" s="7" t="s">
        <v>197</v>
      </c>
      <c r="H31" s="7" t="s">
        <v>198</v>
      </c>
      <c r="I31" s="7" t="s">
        <v>73</v>
      </c>
      <c r="J31" s="7" t="s">
        <v>74</v>
      </c>
      <c r="K31" s="8"/>
      <c r="L31" s="8"/>
      <c r="M31" s="8"/>
    </row>
    <row r="32" customFormat="false" ht="61.5" hidden="false" customHeight="true" outlineLevel="0" collapsed="false">
      <c r="A32" s="4" t="s">
        <v>199</v>
      </c>
      <c r="B32" s="5" t="n">
        <v>46286</v>
      </c>
      <c r="C32" s="6" t="s">
        <v>16</v>
      </c>
      <c r="D32" s="7" t="s">
        <v>17</v>
      </c>
      <c r="E32" s="7" t="s">
        <v>200</v>
      </c>
      <c r="F32" s="7" t="s">
        <v>201</v>
      </c>
      <c r="G32" s="7" t="s">
        <v>202</v>
      </c>
      <c r="H32" s="7" t="s">
        <v>203</v>
      </c>
      <c r="I32" s="7" t="s">
        <v>86</v>
      </c>
      <c r="J32" s="7" t="s">
        <v>74</v>
      </c>
      <c r="K32" s="8"/>
      <c r="L32" s="8"/>
      <c r="M32" s="8"/>
    </row>
    <row r="33" customFormat="false" ht="61.5" hidden="false" customHeight="true" outlineLevel="0" collapsed="false">
      <c r="A33" s="4" t="s">
        <v>204</v>
      </c>
      <c r="B33" s="5" t="n">
        <v>46287</v>
      </c>
      <c r="C33" s="9" t="s">
        <v>25</v>
      </c>
      <c r="D33" s="10" t="s">
        <v>205</v>
      </c>
      <c r="E33" s="7" t="s">
        <v>206</v>
      </c>
      <c r="F33" s="7" t="s">
        <v>207</v>
      </c>
      <c r="G33" s="7" t="s">
        <v>208</v>
      </c>
      <c r="H33" s="7" t="s">
        <v>209</v>
      </c>
      <c r="I33" s="7" t="s">
        <v>22</v>
      </c>
      <c r="J33" s="7" t="s">
        <v>169</v>
      </c>
      <c r="K33" s="8"/>
      <c r="L33" s="8"/>
      <c r="M33" s="8"/>
    </row>
    <row r="35" customFormat="false" ht="15" hidden="false" customHeight="false" outlineLevel="0" collapsed="false">
      <c r="A35" s="14" t="s">
        <v>210</v>
      </c>
      <c r="B35" s="14"/>
      <c r="C35" s="14"/>
      <c r="D35" s="14"/>
      <c r="E35" s="14"/>
      <c r="F35" s="14"/>
      <c r="G35" s="14"/>
      <c r="H35" s="14"/>
    </row>
    <row r="36" customFormat="false" ht="18" hidden="false" customHeight="true" outlineLevel="0" collapsed="false">
      <c r="A36" s="15" t="s">
        <v>16</v>
      </c>
      <c r="B36" s="16" t="n">
        <v>7</v>
      </c>
      <c r="C36" s="17" t="s">
        <v>211</v>
      </c>
      <c r="D36" s="17"/>
      <c r="E36" s="17"/>
      <c r="F36" s="17"/>
      <c r="G36" s="17"/>
      <c r="H36" s="17"/>
    </row>
    <row r="37" customFormat="false" ht="18" hidden="false" customHeight="true" outlineLevel="0" collapsed="false">
      <c r="A37" s="18" t="s">
        <v>25</v>
      </c>
      <c r="B37" s="16" t="n">
        <v>7</v>
      </c>
      <c r="C37" s="17" t="s">
        <v>212</v>
      </c>
      <c r="D37" s="17"/>
      <c r="E37" s="17"/>
      <c r="F37" s="17"/>
      <c r="G37" s="17"/>
      <c r="H37" s="17"/>
    </row>
    <row r="38" customFormat="false" ht="18" hidden="false" customHeight="true" outlineLevel="0" collapsed="false">
      <c r="A38" s="19" t="s">
        <v>51</v>
      </c>
      <c r="B38" s="16" t="n">
        <v>7</v>
      </c>
      <c r="C38" s="17" t="s">
        <v>213</v>
      </c>
      <c r="D38" s="17"/>
      <c r="E38" s="17"/>
      <c r="F38" s="17"/>
      <c r="G38" s="17"/>
      <c r="H38" s="17"/>
    </row>
    <row r="39" customFormat="false" ht="18" hidden="false" customHeight="true" outlineLevel="0" collapsed="false">
      <c r="A39" s="20" t="s">
        <v>33</v>
      </c>
      <c r="B39" s="16" t="n">
        <v>5</v>
      </c>
      <c r="C39" s="17" t="s">
        <v>214</v>
      </c>
      <c r="D39" s="17"/>
      <c r="E39" s="17"/>
      <c r="F39" s="17"/>
      <c r="G39" s="17"/>
      <c r="H39" s="17"/>
    </row>
    <row r="40" customFormat="false" ht="18" hidden="false" customHeight="true" outlineLevel="0" collapsed="false">
      <c r="A40" s="21" t="s">
        <v>42</v>
      </c>
      <c r="B40" s="16" t="n">
        <v>4</v>
      </c>
      <c r="C40" s="17" t="s">
        <v>215</v>
      </c>
      <c r="D40" s="17"/>
      <c r="E40" s="17"/>
      <c r="F40" s="17"/>
      <c r="G40" s="17"/>
      <c r="H40" s="17"/>
    </row>
    <row r="41" customFormat="false" ht="15" hidden="false" customHeight="false" outlineLevel="0" collapsed="false">
      <c r="A41" s="22" t="s">
        <v>216</v>
      </c>
      <c r="B41" s="16" t="n">
        <v>30</v>
      </c>
      <c r="C41" s="23"/>
      <c r="D41" s="23"/>
      <c r="E41" s="23"/>
      <c r="F41" s="23"/>
      <c r="G41" s="23"/>
      <c r="H41" s="23"/>
    </row>
  </sheetData>
  <mergeCells count="8">
    <mergeCell ref="A1:M1"/>
    <mergeCell ref="A2:M2"/>
    <mergeCell ref="A35:H35"/>
    <mergeCell ref="C36:H36"/>
    <mergeCell ref="C37:H37"/>
    <mergeCell ref="C38:H38"/>
    <mergeCell ref="C39:H39"/>
    <mergeCell ref="C40:H40"/>
  </mergeCells>
  <conditionalFormatting sqref="K4:K33">
    <cfRule type="cellIs" priority="2" operator="equal" aboveAverage="0" equalAverage="0" bottom="0" percent="0" rank="0" text="" dxfId="0">
      <formula>"Y"</formula>
    </cfRule>
  </conditionalFormatting>
  <conditionalFormatting sqref="L4:L33">
    <cfRule type="cellIs" priority="3" operator="equal" aboveAverage="0" equalAverage="0" bottom="0" percent="0" rank="0" text="" dxfId="0">
      <formula>"Y"</formula>
    </cfRule>
  </conditionalFormatting>
  <conditionalFormatting sqref="M4:M33">
    <cfRule type="cellIs" priority="4" operator="equal" aboveAverage="0" equalAverage="0" bottom="0" percent="0" rank="0" text="" dxfId="0">
      <formula>"Y"</formula>
    </cfRule>
  </conditionalFormatting>
  <dataValidations count="1">
    <dataValidation allowBlank="true" errorStyle="stop" operator="between" showDropDown="false" showErrorMessage="false" showInputMessage="false" sqref="K4:M3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4" width="11"/>
    <col collapsed="false" customWidth="true" hidden="false" outlineLevel="0" max="2" min="2" style="24" width="6"/>
    <col collapsed="false" customWidth="true" hidden="false" outlineLevel="0" max="4" min="3" style="24" width="16"/>
    <col collapsed="false" customWidth="true" hidden="false" outlineLevel="0" max="5" min="5" style="24" width="20"/>
    <col collapsed="false" customWidth="true" hidden="false" outlineLevel="0" max="6" min="6" style="24" width="8"/>
    <col collapsed="false" customWidth="true" hidden="false" outlineLevel="0" max="7" min="7" style="24" width="20"/>
    <col collapsed="false" customWidth="true" hidden="false" outlineLevel="0" max="8" min="8" style="24" width="16"/>
    <col collapsed="false" customWidth="true" hidden="false" outlineLevel="0" max="9" min="9" style="24" width="9"/>
    <col collapsed="false" customWidth="true" hidden="false" outlineLevel="0" max="11" min="10" style="24" width="10"/>
    <col collapsed="false" customWidth="true" hidden="false" outlineLevel="0" max="14" min="12" style="24" width="11"/>
    <col collapsed="false" customWidth="true" hidden="false" outlineLevel="0" max="16" min="15" style="24" width="8"/>
    <col collapsed="false" customWidth="true" hidden="false" outlineLevel="0" max="17" min="17" style="24" width="10"/>
    <col collapsed="false" customWidth="true" hidden="false" outlineLevel="0" max="18" min="18" style="24" width="9"/>
    <col collapsed="false" customWidth="true" hidden="false" outlineLevel="0" max="19" min="19" style="24" width="8"/>
    <col collapsed="false" customWidth="true" hidden="false" outlineLevel="0" max="20" min="20" style="24" width="14"/>
    <col collapsed="false" customWidth="true" hidden="false" outlineLevel="0" max="21" min="21" style="24" width="26"/>
    <col collapsed="false" customWidth="true" hidden="false" outlineLevel="0" max="22" min="22" style="24" width="34"/>
  </cols>
  <sheetData>
    <row r="1" customFormat="false" ht="24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0" hidden="false" customHeight="true" outlineLevel="0" collapsed="false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33.75" hidden="false" customHeight="true" outlineLevel="0" collapsed="false">
      <c r="A3" s="3" t="s">
        <v>3</v>
      </c>
      <c r="B3" s="3" t="s">
        <v>2</v>
      </c>
      <c r="C3" s="3" t="s">
        <v>5</v>
      </c>
      <c r="D3" s="3" t="s">
        <v>219</v>
      </c>
      <c r="E3" s="3" t="s">
        <v>11</v>
      </c>
      <c r="F3" s="3" t="s">
        <v>220</v>
      </c>
      <c r="G3" s="3" t="s">
        <v>221</v>
      </c>
      <c r="H3" s="3" t="s">
        <v>222</v>
      </c>
      <c r="I3" s="3" t="s">
        <v>223</v>
      </c>
      <c r="J3" s="3" t="s">
        <v>224</v>
      </c>
      <c r="K3" s="3" t="s">
        <v>39</v>
      </c>
      <c r="L3" s="3" t="s">
        <v>225</v>
      </c>
      <c r="M3" s="3" t="s">
        <v>226</v>
      </c>
      <c r="N3" s="3" t="s">
        <v>227</v>
      </c>
      <c r="O3" s="3" t="s">
        <v>22</v>
      </c>
      <c r="P3" s="3" t="s">
        <v>73</v>
      </c>
      <c r="Q3" s="3" t="s">
        <v>151</v>
      </c>
      <c r="R3" s="3" t="s">
        <v>48</v>
      </c>
      <c r="S3" s="3" t="s">
        <v>86</v>
      </c>
      <c r="T3" s="3" t="s">
        <v>228</v>
      </c>
      <c r="U3" s="3" t="s">
        <v>229</v>
      </c>
      <c r="V3" s="3" t="s">
        <v>230</v>
      </c>
    </row>
    <row r="4" customFormat="false" ht="15" hidden="false" customHeight="true" outlineLevel="0" collapsed="false">
      <c r="A4" s="25" t="n">
        <v>46259</v>
      </c>
      <c r="B4" s="26" t="str">
        <f aca="false">IF($A4="","",TEXT($A4,"ddd"))</f>
        <v>Tue</v>
      </c>
      <c r="C4" s="27" t="s">
        <v>231</v>
      </c>
      <c r="D4" s="27" t="s">
        <v>232</v>
      </c>
      <c r="E4" s="27" t="s">
        <v>31</v>
      </c>
      <c r="F4" s="27" t="s">
        <v>233</v>
      </c>
      <c r="G4" s="27" t="s">
        <v>234</v>
      </c>
      <c r="H4" s="27" t="s">
        <v>235</v>
      </c>
      <c r="I4" s="27" t="n">
        <v>1240</v>
      </c>
      <c r="J4" s="27" t="n">
        <v>236</v>
      </c>
      <c r="K4" s="28" t="n">
        <f aca="false">IF(OR($I4="",$J4=""),"",IFERROR($J4/$I4,""))</f>
        <v>0.190322580645161</v>
      </c>
      <c r="L4" s="27" t="n">
        <v>14</v>
      </c>
      <c r="M4" s="27" t="n">
        <v>58</v>
      </c>
      <c r="N4" s="28" t="n">
        <f aca="false">IF(OR($L4="",$M4=""),"",IFERROR($L4/$M4,""))</f>
        <v>0.241379310344828</v>
      </c>
      <c r="O4" s="27" t="n">
        <v>9</v>
      </c>
      <c r="P4" s="27" t="n">
        <v>4</v>
      </c>
      <c r="Q4" s="27" t="n">
        <v>7</v>
      </c>
      <c r="R4" s="27" t="n">
        <v>3</v>
      </c>
      <c r="S4" s="27" t="n">
        <v>1</v>
      </c>
      <c r="T4" s="26" t="str">
        <f aca="false">IF($K4="","",IF($K4&gt;=0.25,"WIN",IF($K4&gt;=0.2,"OK","FAIL")))</f>
        <v>FAIL</v>
      </c>
      <c r="U4" s="26" t="str">
        <f aca="false">IF($K4="","",IF($K4&lt;0.2,"REPOST WITH HOOK B",IF($K4&gt;=0.25,"Bank hook in PLAYBOOK","Hold - watch next run")))</f>
        <v>REPOST WITH HOOK B</v>
      </c>
      <c r="V4" s="27" t="s">
        <v>236</v>
      </c>
    </row>
    <row r="5" customFormat="false" ht="15" hidden="false" customHeight="true" outlineLevel="0" collapsed="false">
      <c r="A5" s="25"/>
      <c r="B5" s="26" t="str">
        <f aca="false">IF($A5="","",TEXT($A5,"ddd"))</f>
        <v/>
      </c>
      <c r="C5" s="27"/>
      <c r="D5" s="27"/>
      <c r="E5" s="27"/>
      <c r="F5" s="27"/>
      <c r="G5" s="27"/>
      <c r="H5" s="27"/>
      <c r="I5" s="27"/>
      <c r="J5" s="27"/>
      <c r="K5" s="28" t="str">
        <f aca="false">IF(OR($I5="",$J5=""),"",IFERROR($J5/$I5,""))</f>
        <v/>
      </c>
      <c r="L5" s="27"/>
      <c r="M5" s="27"/>
      <c r="N5" s="28" t="str">
        <f aca="false">IF(OR($L5="",$M5=""),"",IFERROR($L5/$M5,""))</f>
        <v/>
      </c>
      <c r="O5" s="27"/>
      <c r="P5" s="27"/>
      <c r="Q5" s="27"/>
      <c r="R5" s="27"/>
      <c r="S5" s="27"/>
      <c r="T5" s="26" t="str">
        <f aca="false">IF($K5="","",IF($K5&gt;=0.25,"WIN",IF($K5&gt;=0.2,"OK","FAIL")))</f>
        <v/>
      </c>
      <c r="U5" s="26" t="str">
        <f aca="false">IF($K5="","",IF($K5&lt;0.2,"REPOST WITH HOOK B",IF($K5&gt;=0.25,"Bank hook in PLAYBOOK","Hold - watch next run")))</f>
        <v/>
      </c>
      <c r="V5" s="27"/>
    </row>
    <row r="6" customFormat="false" ht="15" hidden="false" customHeight="true" outlineLevel="0" collapsed="false">
      <c r="A6" s="25"/>
      <c r="B6" s="26" t="str">
        <f aca="false">IF($A6="","",TEXT($A6,"ddd"))</f>
        <v/>
      </c>
      <c r="C6" s="27"/>
      <c r="D6" s="27"/>
      <c r="E6" s="27"/>
      <c r="F6" s="27"/>
      <c r="G6" s="27"/>
      <c r="H6" s="27"/>
      <c r="I6" s="27"/>
      <c r="J6" s="27"/>
      <c r="K6" s="28" t="str">
        <f aca="false">IF(OR($I6="",$J6=""),"",IFERROR($J6/$I6,""))</f>
        <v/>
      </c>
      <c r="L6" s="27"/>
      <c r="M6" s="27"/>
      <c r="N6" s="28" t="str">
        <f aca="false">IF(OR($L6="",$M6=""),"",IFERROR($L6/$M6,""))</f>
        <v/>
      </c>
      <c r="O6" s="27"/>
      <c r="P6" s="27"/>
      <c r="Q6" s="27"/>
      <c r="R6" s="27"/>
      <c r="S6" s="27"/>
      <c r="T6" s="26" t="str">
        <f aca="false">IF($K6="","",IF($K6&gt;=0.25,"WIN",IF($K6&gt;=0.2,"OK","FAIL")))</f>
        <v/>
      </c>
      <c r="U6" s="26" t="str">
        <f aca="false">IF($K6="","",IF($K6&lt;0.2,"REPOST WITH HOOK B",IF($K6&gt;=0.25,"Bank hook in PLAYBOOK","Hold - watch next run")))</f>
        <v/>
      </c>
      <c r="V6" s="27"/>
    </row>
    <row r="7" customFormat="false" ht="15" hidden="false" customHeight="true" outlineLevel="0" collapsed="false">
      <c r="A7" s="25"/>
      <c r="B7" s="26" t="str">
        <f aca="false">IF($A7="","",TEXT($A7,"ddd"))</f>
        <v/>
      </c>
      <c r="C7" s="27"/>
      <c r="D7" s="27"/>
      <c r="E7" s="27"/>
      <c r="F7" s="27"/>
      <c r="G7" s="27"/>
      <c r="H7" s="27"/>
      <c r="I7" s="27"/>
      <c r="J7" s="27"/>
      <c r="K7" s="28" t="str">
        <f aca="false">IF(OR($I7="",$J7=""),"",IFERROR($J7/$I7,""))</f>
        <v/>
      </c>
      <c r="L7" s="27"/>
      <c r="M7" s="27"/>
      <c r="N7" s="28" t="str">
        <f aca="false">IF(OR($L7="",$M7=""),"",IFERROR($L7/$M7,""))</f>
        <v/>
      </c>
      <c r="O7" s="27"/>
      <c r="P7" s="27"/>
      <c r="Q7" s="27"/>
      <c r="R7" s="27"/>
      <c r="S7" s="27"/>
      <c r="T7" s="26" t="str">
        <f aca="false">IF($K7="","",IF($K7&gt;=0.25,"WIN",IF($K7&gt;=0.2,"OK","FAIL")))</f>
        <v/>
      </c>
      <c r="U7" s="26" t="str">
        <f aca="false">IF($K7="","",IF($K7&lt;0.2,"REPOST WITH HOOK B",IF($K7&gt;=0.25,"Bank hook in PLAYBOOK","Hold - watch next run")))</f>
        <v/>
      </c>
      <c r="V7" s="27"/>
    </row>
    <row r="8" customFormat="false" ht="15" hidden="false" customHeight="true" outlineLevel="0" collapsed="false">
      <c r="A8" s="25"/>
      <c r="B8" s="26" t="str">
        <f aca="false">IF($A8="","",TEXT($A8,"ddd"))</f>
        <v/>
      </c>
      <c r="C8" s="27"/>
      <c r="D8" s="27"/>
      <c r="E8" s="27"/>
      <c r="F8" s="27"/>
      <c r="G8" s="27"/>
      <c r="H8" s="27"/>
      <c r="I8" s="27"/>
      <c r="J8" s="27"/>
      <c r="K8" s="28" t="str">
        <f aca="false">IF(OR($I8="",$J8=""),"",IFERROR($J8/$I8,""))</f>
        <v/>
      </c>
      <c r="L8" s="27"/>
      <c r="M8" s="27"/>
      <c r="N8" s="28" t="str">
        <f aca="false">IF(OR($L8="",$M8=""),"",IFERROR($L8/$M8,""))</f>
        <v/>
      </c>
      <c r="O8" s="27"/>
      <c r="P8" s="27"/>
      <c r="Q8" s="27"/>
      <c r="R8" s="27"/>
      <c r="S8" s="27"/>
      <c r="T8" s="26" t="str">
        <f aca="false">IF($K8="","",IF($K8&gt;=0.25,"WIN",IF($K8&gt;=0.2,"OK","FAIL")))</f>
        <v/>
      </c>
      <c r="U8" s="26" t="str">
        <f aca="false">IF($K8="","",IF($K8&lt;0.2,"REPOST WITH HOOK B",IF($K8&gt;=0.25,"Bank hook in PLAYBOOK","Hold - watch next run")))</f>
        <v/>
      </c>
      <c r="V8" s="27"/>
    </row>
    <row r="9" customFormat="false" ht="15" hidden="false" customHeight="true" outlineLevel="0" collapsed="false">
      <c r="A9" s="25"/>
      <c r="B9" s="26" t="str">
        <f aca="false">IF($A9="","",TEXT($A9,"ddd"))</f>
        <v/>
      </c>
      <c r="C9" s="27"/>
      <c r="D9" s="27"/>
      <c r="E9" s="27"/>
      <c r="F9" s="27"/>
      <c r="G9" s="27"/>
      <c r="H9" s="27"/>
      <c r="I9" s="27"/>
      <c r="J9" s="27"/>
      <c r="K9" s="28" t="str">
        <f aca="false">IF(OR($I9="",$J9=""),"",IFERROR($J9/$I9,""))</f>
        <v/>
      </c>
      <c r="L9" s="27"/>
      <c r="M9" s="27"/>
      <c r="N9" s="28" t="str">
        <f aca="false">IF(OR($L9="",$M9=""),"",IFERROR($L9/$M9,""))</f>
        <v/>
      </c>
      <c r="O9" s="27"/>
      <c r="P9" s="27"/>
      <c r="Q9" s="27"/>
      <c r="R9" s="27"/>
      <c r="S9" s="27"/>
      <c r="T9" s="26" t="str">
        <f aca="false">IF($K9="","",IF($K9&gt;=0.25,"WIN",IF($K9&gt;=0.2,"OK","FAIL")))</f>
        <v/>
      </c>
      <c r="U9" s="26" t="str">
        <f aca="false">IF($K9="","",IF($K9&lt;0.2,"REPOST WITH HOOK B",IF($K9&gt;=0.25,"Bank hook in PLAYBOOK","Hold - watch next run")))</f>
        <v/>
      </c>
      <c r="V9" s="27"/>
    </row>
    <row r="10" customFormat="false" ht="15" hidden="false" customHeight="true" outlineLevel="0" collapsed="false">
      <c r="A10" s="25"/>
      <c r="B10" s="26" t="str">
        <f aca="false">IF($A10="","",TEXT($A10,"ddd"))</f>
        <v/>
      </c>
      <c r="C10" s="27"/>
      <c r="D10" s="27"/>
      <c r="E10" s="27"/>
      <c r="F10" s="27"/>
      <c r="G10" s="27"/>
      <c r="H10" s="27"/>
      <c r="I10" s="27"/>
      <c r="J10" s="27"/>
      <c r="K10" s="28" t="str">
        <f aca="false">IF(OR($I10="",$J10=""),"",IFERROR($J10/$I10,""))</f>
        <v/>
      </c>
      <c r="L10" s="27"/>
      <c r="M10" s="27"/>
      <c r="N10" s="28" t="str">
        <f aca="false">IF(OR($L10="",$M10=""),"",IFERROR($L10/$M10,""))</f>
        <v/>
      </c>
      <c r="O10" s="27"/>
      <c r="P10" s="27"/>
      <c r="Q10" s="27"/>
      <c r="R10" s="27"/>
      <c r="S10" s="27"/>
      <c r="T10" s="26" t="str">
        <f aca="false">IF($K10="","",IF($K10&gt;=0.25,"WIN",IF($K10&gt;=0.2,"OK","FAIL")))</f>
        <v/>
      </c>
      <c r="U10" s="26" t="str">
        <f aca="false">IF($K10="","",IF($K10&lt;0.2,"REPOST WITH HOOK B",IF($K10&gt;=0.25,"Bank hook in PLAYBOOK","Hold - watch next run")))</f>
        <v/>
      </c>
      <c r="V10" s="27"/>
    </row>
    <row r="11" customFormat="false" ht="15" hidden="false" customHeight="true" outlineLevel="0" collapsed="false">
      <c r="A11" s="25"/>
      <c r="B11" s="26" t="str">
        <f aca="false">IF($A11="","",TEXT($A11,"ddd"))</f>
        <v/>
      </c>
      <c r="C11" s="27"/>
      <c r="D11" s="27"/>
      <c r="E11" s="27"/>
      <c r="F11" s="27"/>
      <c r="G11" s="27"/>
      <c r="H11" s="27"/>
      <c r="I11" s="27"/>
      <c r="J11" s="27"/>
      <c r="K11" s="28" t="str">
        <f aca="false">IF(OR($I11="",$J11=""),"",IFERROR($J11/$I11,""))</f>
        <v/>
      </c>
      <c r="L11" s="27"/>
      <c r="M11" s="27"/>
      <c r="N11" s="28" t="str">
        <f aca="false">IF(OR($L11="",$M11=""),"",IFERROR($L11/$M11,""))</f>
        <v/>
      </c>
      <c r="O11" s="27"/>
      <c r="P11" s="27"/>
      <c r="Q11" s="27"/>
      <c r="R11" s="27"/>
      <c r="S11" s="27"/>
      <c r="T11" s="26" t="str">
        <f aca="false">IF($K11="","",IF($K11&gt;=0.25,"WIN",IF($K11&gt;=0.2,"OK","FAIL")))</f>
        <v/>
      </c>
      <c r="U11" s="26" t="str">
        <f aca="false">IF($K11="","",IF($K11&lt;0.2,"REPOST WITH HOOK B",IF($K11&gt;=0.25,"Bank hook in PLAYBOOK","Hold - watch next run")))</f>
        <v/>
      </c>
      <c r="V11" s="27"/>
    </row>
    <row r="12" customFormat="false" ht="15" hidden="false" customHeight="true" outlineLevel="0" collapsed="false">
      <c r="A12" s="25"/>
      <c r="B12" s="26" t="str">
        <f aca="false">IF($A12="","",TEXT($A12,"ddd"))</f>
        <v/>
      </c>
      <c r="C12" s="27"/>
      <c r="D12" s="27"/>
      <c r="E12" s="27"/>
      <c r="F12" s="27"/>
      <c r="G12" s="27"/>
      <c r="H12" s="27"/>
      <c r="I12" s="27"/>
      <c r="J12" s="27"/>
      <c r="K12" s="28" t="str">
        <f aca="false">IF(OR($I12="",$J12=""),"",IFERROR($J12/$I12,""))</f>
        <v/>
      </c>
      <c r="L12" s="27"/>
      <c r="M12" s="27"/>
      <c r="N12" s="28" t="str">
        <f aca="false">IF(OR($L12="",$M12=""),"",IFERROR($L12/$M12,""))</f>
        <v/>
      </c>
      <c r="O12" s="27"/>
      <c r="P12" s="27"/>
      <c r="Q12" s="27"/>
      <c r="R12" s="27"/>
      <c r="S12" s="27"/>
      <c r="T12" s="26" t="str">
        <f aca="false">IF($K12="","",IF($K12&gt;=0.25,"WIN",IF($K12&gt;=0.2,"OK","FAIL")))</f>
        <v/>
      </c>
      <c r="U12" s="26" t="str">
        <f aca="false">IF($K12="","",IF($K12&lt;0.2,"REPOST WITH HOOK B",IF($K12&gt;=0.25,"Bank hook in PLAYBOOK","Hold - watch next run")))</f>
        <v/>
      </c>
      <c r="V12" s="27"/>
    </row>
    <row r="13" customFormat="false" ht="15" hidden="false" customHeight="true" outlineLevel="0" collapsed="false">
      <c r="A13" s="25"/>
      <c r="B13" s="26" t="str">
        <f aca="false">IF($A13="","",TEXT($A13,"ddd"))</f>
        <v/>
      </c>
      <c r="C13" s="27"/>
      <c r="D13" s="27"/>
      <c r="E13" s="27"/>
      <c r="F13" s="27"/>
      <c r="G13" s="27"/>
      <c r="H13" s="27"/>
      <c r="I13" s="27"/>
      <c r="J13" s="27"/>
      <c r="K13" s="28" t="str">
        <f aca="false">IF(OR($I13="",$J13=""),"",IFERROR($J13/$I13,""))</f>
        <v/>
      </c>
      <c r="L13" s="27"/>
      <c r="M13" s="27"/>
      <c r="N13" s="28" t="str">
        <f aca="false">IF(OR($L13="",$M13=""),"",IFERROR($L13/$M13,""))</f>
        <v/>
      </c>
      <c r="O13" s="27"/>
      <c r="P13" s="27"/>
      <c r="Q13" s="27"/>
      <c r="R13" s="27"/>
      <c r="S13" s="27"/>
      <c r="T13" s="26" t="str">
        <f aca="false">IF($K13="","",IF($K13&gt;=0.25,"WIN",IF($K13&gt;=0.2,"OK","FAIL")))</f>
        <v/>
      </c>
      <c r="U13" s="26" t="str">
        <f aca="false">IF($K13="","",IF($K13&lt;0.2,"REPOST WITH HOOK B",IF($K13&gt;=0.25,"Bank hook in PLAYBOOK","Hold - watch next run")))</f>
        <v/>
      </c>
      <c r="V13" s="27"/>
    </row>
    <row r="14" customFormat="false" ht="15" hidden="false" customHeight="true" outlineLevel="0" collapsed="false">
      <c r="A14" s="25"/>
      <c r="B14" s="26" t="str">
        <f aca="false">IF($A14="","",TEXT($A14,"ddd"))</f>
        <v/>
      </c>
      <c r="C14" s="27"/>
      <c r="D14" s="27"/>
      <c r="E14" s="27"/>
      <c r="F14" s="27"/>
      <c r="G14" s="27"/>
      <c r="H14" s="27"/>
      <c r="I14" s="27"/>
      <c r="J14" s="27"/>
      <c r="K14" s="28" t="str">
        <f aca="false">IF(OR($I14="",$J14=""),"",IFERROR($J14/$I14,""))</f>
        <v/>
      </c>
      <c r="L14" s="27"/>
      <c r="M14" s="27"/>
      <c r="N14" s="28" t="str">
        <f aca="false">IF(OR($L14="",$M14=""),"",IFERROR($L14/$M14,""))</f>
        <v/>
      </c>
      <c r="O14" s="27"/>
      <c r="P14" s="27"/>
      <c r="Q14" s="27"/>
      <c r="R14" s="27"/>
      <c r="S14" s="27"/>
      <c r="T14" s="26" t="str">
        <f aca="false">IF($K14="","",IF($K14&gt;=0.25,"WIN",IF($K14&gt;=0.2,"OK","FAIL")))</f>
        <v/>
      </c>
      <c r="U14" s="26" t="str">
        <f aca="false">IF($K14="","",IF($K14&lt;0.2,"REPOST WITH HOOK B",IF($K14&gt;=0.25,"Bank hook in PLAYBOOK","Hold - watch next run")))</f>
        <v/>
      </c>
      <c r="V14" s="27"/>
    </row>
    <row r="15" customFormat="false" ht="15" hidden="false" customHeight="true" outlineLevel="0" collapsed="false">
      <c r="A15" s="25"/>
      <c r="B15" s="26" t="str">
        <f aca="false">IF($A15="","",TEXT($A15,"ddd"))</f>
        <v/>
      </c>
      <c r="C15" s="27"/>
      <c r="D15" s="27"/>
      <c r="E15" s="27"/>
      <c r="F15" s="27"/>
      <c r="G15" s="27"/>
      <c r="H15" s="27"/>
      <c r="I15" s="27"/>
      <c r="J15" s="27"/>
      <c r="K15" s="28" t="str">
        <f aca="false">IF(OR($I15="",$J15=""),"",IFERROR($J15/$I15,""))</f>
        <v/>
      </c>
      <c r="L15" s="27"/>
      <c r="M15" s="27"/>
      <c r="N15" s="28" t="str">
        <f aca="false">IF(OR($L15="",$M15=""),"",IFERROR($L15/$M15,""))</f>
        <v/>
      </c>
      <c r="O15" s="27"/>
      <c r="P15" s="27"/>
      <c r="Q15" s="27"/>
      <c r="R15" s="27"/>
      <c r="S15" s="27"/>
      <c r="T15" s="26" t="str">
        <f aca="false">IF($K15="","",IF($K15&gt;=0.25,"WIN",IF($K15&gt;=0.2,"OK","FAIL")))</f>
        <v/>
      </c>
      <c r="U15" s="26" t="str">
        <f aca="false">IF($K15="","",IF($K15&lt;0.2,"REPOST WITH HOOK B",IF($K15&gt;=0.25,"Bank hook in PLAYBOOK","Hold - watch next run")))</f>
        <v/>
      </c>
      <c r="V15" s="27"/>
    </row>
    <row r="16" customFormat="false" ht="15" hidden="false" customHeight="true" outlineLevel="0" collapsed="false">
      <c r="A16" s="25"/>
      <c r="B16" s="26" t="str">
        <f aca="false">IF($A16="","",TEXT($A16,"ddd"))</f>
        <v/>
      </c>
      <c r="C16" s="27"/>
      <c r="D16" s="27"/>
      <c r="E16" s="27"/>
      <c r="F16" s="27"/>
      <c r="G16" s="27"/>
      <c r="H16" s="27"/>
      <c r="I16" s="27"/>
      <c r="J16" s="27"/>
      <c r="K16" s="28" t="str">
        <f aca="false">IF(OR($I16="",$J16=""),"",IFERROR($J16/$I16,""))</f>
        <v/>
      </c>
      <c r="L16" s="27"/>
      <c r="M16" s="27"/>
      <c r="N16" s="28" t="str">
        <f aca="false">IF(OR($L16="",$M16=""),"",IFERROR($L16/$M16,""))</f>
        <v/>
      </c>
      <c r="O16" s="27"/>
      <c r="P16" s="27"/>
      <c r="Q16" s="27"/>
      <c r="R16" s="27"/>
      <c r="S16" s="27"/>
      <c r="T16" s="26" t="str">
        <f aca="false">IF($K16="","",IF($K16&gt;=0.25,"WIN",IF($K16&gt;=0.2,"OK","FAIL")))</f>
        <v/>
      </c>
      <c r="U16" s="26" t="str">
        <f aca="false">IF($K16="","",IF($K16&lt;0.2,"REPOST WITH HOOK B",IF($K16&gt;=0.25,"Bank hook in PLAYBOOK","Hold - watch next run")))</f>
        <v/>
      </c>
      <c r="V16" s="27"/>
    </row>
    <row r="17" customFormat="false" ht="15" hidden="false" customHeight="true" outlineLevel="0" collapsed="false">
      <c r="A17" s="25"/>
      <c r="B17" s="26" t="str">
        <f aca="false">IF($A17="","",TEXT($A17,"ddd"))</f>
        <v/>
      </c>
      <c r="C17" s="27"/>
      <c r="D17" s="27"/>
      <c r="E17" s="27"/>
      <c r="F17" s="27"/>
      <c r="G17" s="27"/>
      <c r="H17" s="27"/>
      <c r="I17" s="27"/>
      <c r="J17" s="27"/>
      <c r="K17" s="28" t="str">
        <f aca="false">IF(OR($I17="",$J17=""),"",IFERROR($J17/$I17,""))</f>
        <v/>
      </c>
      <c r="L17" s="27"/>
      <c r="M17" s="27"/>
      <c r="N17" s="28" t="str">
        <f aca="false">IF(OR($L17="",$M17=""),"",IFERROR($L17/$M17,""))</f>
        <v/>
      </c>
      <c r="O17" s="27"/>
      <c r="P17" s="27"/>
      <c r="Q17" s="27"/>
      <c r="R17" s="27"/>
      <c r="S17" s="27"/>
      <c r="T17" s="26" t="str">
        <f aca="false">IF($K17="","",IF($K17&gt;=0.25,"WIN",IF($K17&gt;=0.2,"OK","FAIL")))</f>
        <v/>
      </c>
      <c r="U17" s="26" t="str">
        <f aca="false">IF($K17="","",IF($K17&lt;0.2,"REPOST WITH HOOK B",IF($K17&gt;=0.25,"Bank hook in PLAYBOOK","Hold - watch next run")))</f>
        <v/>
      </c>
      <c r="V17" s="27"/>
    </row>
    <row r="18" customFormat="false" ht="15" hidden="false" customHeight="true" outlineLevel="0" collapsed="false">
      <c r="A18" s="25"/>
      <c r="B18" s="26" t="str">
        <f aca="false">IF($A18="","",TEXT($A18,"ddd"))</f>
        <v/>
      </c>
      <c r="C18" s="27"/>
      <c r="D18" s="27"/>
      <c r="E18" s="27"/>
      <c r="F18" s="27"/>
      <c r="G18" s="27"/>
      <c r="H18" s="27"/>
      <c r="I18" s="27"/>
      <c r="J18" s="27"/>
      <c r="K18" s="28" t="str">
        <f aca="false">IF(OR($I18="",$J18=""),"",IFERROR($J18/$I18,""))</f>
        <v/>
      </c>
      <c r="L18" s="27"/>
      <c r="M18" s="27"/>
      <c r="N18" s="28" t="str">
        <f aca="false">IF(OR($L18="",$M18=""),"",IFERROR($L18/$M18,""))</f>
        <v/>
      </c>
      <c r="O18" s="27"/>
      <c r="P18" s="27"/>
      <c r="Q18" s="27"/>
      <c r="R18" s="27"/>
      <c r="S18" s="27"/>
      <c r="T18" s="26" t="str">
        <f aca="false">IF($K18="","",IF($K18&gt;=0.25,"WIN",IF($K18&gt;=0.2,"OK","FAIL")))</f>
        <v/>
      </c>
      <c r="U18" s="26" t="str">
        <f aca="false">IF($K18="","",IF($K18&lt;0.2,"REPOST WITH HOOK B",IF($K18&gt;=0.25,"Bank hook in PLAYBOOK","Hold - watch next run")))</f>
        <v/>
      </c>
      <c r="V18" s="27"/>
    </row>
    <row r="19" customFormat="false" ht="15" hidden="false" customHeight="true" outlineLevel="0" collapsed="false">
      <c r="A19" s="25"/>
      <c r="B19" s="26" t="str">
        <f aca="false">IF($A19="","",TEXT($A19,"ddd"))</f>
        <v/>
      </c>
      <c r="C19" s="27"/>
      <c r="D19" s="27"/>
      <c r="E19" s="27"/>
      <c r="F19" s="27"/>
      <c r="G19" s="27"/>
      <c r="H19" s="27"/>
      <c r="I19" s="27"/>
      <c r="J19" s="27"/>
      <c r="K19" s="28" t="str">
        <f aca="false">IF(OR($I19="",$J19=""),"",IFERROR($J19/$I19,""))</f>
        <v/>
      </c>
      <c r="L19" s="27"/>
      <c r="M19" s="27"/>
      <c r="N19" s="28" t="str">
        <f aca="false">IF(OR($L19="",$M19=""),"",IFERROR($L19/$M19,""))</f>
        <v/>
      </c>
      <c r="O19" s="27"/>
      <c r="P19" s="27"/>
      <c r="Q19" s="27"/>
      <c r="R19" s="27"/>
      <c r="S19" s="27"/>
      <c r="T19" s="26" t="str">
        <f aca="false">IF($K19="","",IF($K19&gt;=0.25,"WIN",IF($K19&gt;=0.2,"OK","FAIL")))</f>
        <v/>
      </c>
      <c r="U19" s="26" t="str">
        <f aca="false">IF($K19="","",IF($K19&lt;0.2,"REPOST WITH HOOK B",IF($K19&gt;=0.25,"Bank hook in PLAYBOOK","Hold - watch next run")))</f>
        <v/>
      </c>
      <c r="V19" s="27"/>
    </row>
    <row r="20" customFormat="false" ht="15" hidden="false" customHeight="true" outlineLevel="0" collapsed="false">
      <c r="A20" s="25"/>
      <c r="B20" s="26" t="str">
        <f aca="false">IF($A20="","",TEXT($A20,"ddd"))</f>
        <v/>
      </c>
      <c r="C20" s="27"/>
      <c r="D20" s="27"/>
      <c r="E20" s="27"/>
      <c r="F20" s="27"/>
      <c r="G20" s="27"/>
      <c r="H20" s="27"/>
      <c r="I20" s="27"/>
      <c r="J20" s="27"/>
      <c r="K20" s="28" t="str">
        <f aca="false">IF(OR($I20="",$J20=""),"",IFERROR($J20/$I20,""))</f>
        <v/>
      </c>
      <c r="L20" s="27"/>
      <c r="M20" s="27"/>
      <c r="N20" s="28" t="str">
        <f aca="false">IF(OR($L20="",$M20=""),"",IFERROR($L20/$M20,""))</f>
        <v/>
      </c>
      <c r="O20" s="27"/>
      <c r="P20" s="27"/>
      <c r="Q20" s="27"/>
      <c r="R20" s="27"/>
      <c r="S20" s="27"/>
      <c r="T20" s="26" t="str">
        <f aca="false">IF($K20="","",IF($K20&gt;=0.25,"WIN",IF($K20&gt;=0.2,"OK","FAIL")))</f>
        <v/>
      </c>
      <c r="U20" s="26" t="str">
        <f aca="false">IF($K20="","",IF($K20&lt;0.2,"REPOST WITH HOOK B",IF($K20&gt;=0.25,"Bank hook in PLAYBOOK","Hold - watch next run")))</f>
        <v/>
      </c>
      <c r="V20" s="27"/>
    </row>
    <row r="21" customFormat="false" ht="15" hidden="false" customHeight="true" outlineLevel="0" collapsed="false">
      <c r="A21" s="25"/>
      <c r="B21" s="26" t="str">
        <f aca="false">IF($A21="","",TEXT($A21,"ddd"))</f>
        <v/>
      </c>
      <c r="C21" s="27"/>
      <c r="D21" s="27"/>
      <c r="E21" s="27"/>
      <c r="F21" s="27"/>
      <c r="G21" s="27"/>
      <c r="H21" s="27"/>
      <c r="I21" s="27"/>
      <c r="J21" s="27"/>
      <c r="K21" s="28" t="str">
        <f aca="false">IF(OR($I21="",$J21=""),"",IFERROR($J21/$I21,""))</f>
        <v/>
      </c>
      <c r="L21" s="27"/>
      <c r="M21" s="27"/>
      <c r="N21" s="28" t="str">
        <f aca="false">IF(OR($L21="",$M21=""),"",IFERROR($L21/$M21,""))</f>
        <v/>
      </c>
      <c r="O21" s="27"/>
      <c r="P21" s="27"/>
      <c r="Q21" s="27"/>
      <c r="R21" s="27"/>
      <c r="S21" s="27"/>
      <c r="T21" s="26" t="str">
        <f aca="false">IF($K21="","",IF($K21&gt;=0.25,"WIN",IF($K21&gt;=0.2,"OK","FAIL")))</f>
        <v/>
      </c>
      <c r="U21" s="26" t="str">
        <f aca="false">IF($K21="","",IF($K21&lt;0.2,"REPOST WITH HOOK B",IF($K21&gt;=0.25,"Bank hook in PLAYBOOK","Hold - watch next run")))</f>
        <v/>
      </c>
      <c r="V21" s="27"/>
    </row>
    <row r="22" customFormat="false" ht="15" hidden="false" customHeight="true" outlineLevel="0" collapsed="false">
      <c r="A22" s="25"/>
      <c r="B22" s="26" t="str">
        <f aca="false">IF($A22="","",TEXT($A22,"ddd"))</f>
        <v/>
      </c>
      <c r="C22" s="27"/>
      <c r="D22" s="27"/>
      <c r="E22" s="27"/>
      <c r="F22" s="27"/>
      <c r="G22" s="27"/>
      <c r="H22" s="27"/>
      <c r="I22" s="27"/>
      <c r="J22" s="27"/>
      <c r="K22" s="28" t="str">
        <f aca="false">IF(OR($I22="",$J22=""),"",IFERROR($J22/$I22,""))</f>
        <v/>
      </c>
      <c r="L22" s="27"/>
      <c r="M22" s="27"/>
      <c r="N22" s="28" t="str">
        <f aca="false">IF(OR($L22="",$M22=""),"",IFERROR($L22/$M22,""))</f>
        <v/>
      </c>
      <c r="O22" s="27"/>
      <c r="P22" s="27"/>
      <c r="Q22" s="27"/>
      <c r="R22" s="27"/>
      <c r="S22" s="27"/>
      <c r="T22" s="26" t="str">
        <f aca="false">IF($K22="","",IF($K22&gt;=0.25,"WIN",IF($K22&gt;=0.2,"OK","FAIL")))</f>
        <v/>
      </c>
      <c r="U22" s="26" t="str">
        <f aca="false">IF($K22="","",IF($K22&lt;0.2,"REPOST WITH HOOK B",IF($K22&gt;=0.25,"Bank hook in PLAYBOOK","Hold - watch next run")))</f>
        <v/>
      </c>
      <c r="V22" s="27"/>
    </row>
    <row r="23" customFormat="false" ht="15" hidden="false" customHeight="true" outlineLevel="0" collapsed="false">
      <c r="A23" s="25"/>
      <c r="B23" s="26" t="str">
        <f aca="false">IF($A23="","",TEXT($A23,"ddd"))</f>
        <v/>
      </c>
      <c r="C23" s="27"/>
      <c r="D23" s="27"/>
      <c r="E23" s="27"/>
      <c r="F23" s="27"/>
      <c r="G23" s="27"/>
      <c r="H23" s="27"/>
      <c r="I23" s="27"/>
      <c r="J23" s="27"/>
      <c r="K23" s="28" t="str">
        <f aca="false">IF(OR($I23="",$J23=""),"",IFERROR($J23/$I23,""))</f>
        <v/>
      </c>
      <c r="L23" s="27"/>
      <c r="M23" s="27"/>
      <c r="N23" s="28" t="str">
        <f aca="false">IF(OR($L23="",$M23=""),"",IFERROR($L23/$M23,""))</f>
        <v/>
      </c>
      <c r="O23" s="27"/>
      <c r="P23" s="27"/>
      <c r="Q23" s="27"/>
      <c r="R23" s="27"/>
      <c r="S23" s="27"/>
      <c r="T23" s="26" t="str">
        <f aca="false">IF($K23="","",IF($K23&gt;=0.25,"WIN",IF($K23&gt;=0.2,"OK","FAIL")))</f>
        <v/>
      </c>
      <c r="U23" s="26" t="str">
        <f aca="false">IF($K23="","",IF($K23&lt;0.2,"REPOST WITH HOOK B",IF($K23&gt;=0.25,"Bank hook in PLAYBOOK","Hold - watch next run")))</f>
        <v/>
      </c>
      <c r="V23" s="27"/>
    </row>
    <row r="24" customFormat="false" ht="15" hidden="false" customHeight="true" outlineLevel="0" collapsed="false">
      <c r="A24" s="25"/>
      <c r="B24" s="26" t="str">
        <f aca="false">IF($A24="","",TEXT($A24,"ddd"))</f>
        <v/>
      </c>
      <c r="C24" s="27"/>
      <c r="D24" s="27"/>
      <c r="E24" s="27"/>
      <c r="F24" s="27"/>
      <c r="G24" s="27"/>
      <c r="H24" s="27"/>
      <c r="I24" s="27"/>
      <c r="J24" s="27"/>
      <c r="K24" s="28" t="str">
        <f aca="false">IF(OR($I24="",$J24=""),"",IFERROR($J24/$I24,""))</f>
        <v/>
      </c>
      <c r="L24" s="27"/>
      <c r="M24" s="27"/>
      <c r="N24" s="28" t="str">
        <f aca="false">IF(OR($L24="",$M24=""),"",IFERROR($L24/$M24,""))</f>
        <v/>
      </c>
      <c r="O24" s="27"/>
      <c r="P24" s="27"/>
      <c r="Q24" s="27"/>
      <c r="R24" s="27"/>
      <c r="S24" s="27"/>
      <c r="T24" s="26" t="str">
        <f aca="false">IF($K24="","",IF($K24&gt;=0.25,"WIN",IF($K24&gt;=0.2,"OK","FAIL")))</f>
        <v/>
      </c>
      <c r="U24" s="26" t="str">
        <f aca="false">IF($K24="","",IF($K24&lt;0.2,"REPOST WITH HOOK B",IF($K24&gt;=0.25,"Bank hook in PLAYBOOK","Hold - watch next run")))</f>
        <v/>
      </c>
      <c r="V24" s="27"/>
    </row>
    <row r="25" customFormat="false" ht="15" hidden="false" customHeight="true" outlineLevel="0" collapsed="false">
      <c r="A25" s="25"/>
      <c r="B25" s="26" t="str">
        <f aca="false">IF($A25="","",TEXT($A25,"ddd"))</f>
        <v/>
      </c>
      <c r="C25" s="27"/>
      <c r="D25" s="27"/>
      <c r="E25" s="27"/>
      <c r="F25" s="27"/>
      <c r="G25" s="27"/>
      <c r="H25" s="27"/>
      <c r="I25" s="27"/>
      <c r="J25" s="27"/>
      <c r="K25" s="28" t="str">
        <f aca="false">IF(OR($I25="",$J25=""),"",IFERROR($J25/$I25,""))</f>
        <v/>
      </c>
      <c r="L25" s="27"/>
      <c r="M25" s="27"/>
      <c r="N25" s="28" t="str">
        <f aca="false">IF(OR($L25="",$M25=""),"",IFERROR($L25/$M25,""))</f>
        <v/>
      </c>
      <c r="O25" s="27"/>
      <c r="P25" s="27"/>
      <c r="Q25" s="27"/>
      <c r="R25" s="27"/>
      <c r="S25" s="27"/>
      <c r="T25" s="26" t="str">
        <f aca="false">IF($K25="","",IF($K25&gt;=0.25,"WIN",IF($K25&gt;=0.2,"OK","FAIL")))</f>
        <v/>
      </c>
      <c r="U25" s="26" t="str">
        <f aca="false">IF($K25="","",IF($K25&lt;0.2,"REPOST WITH HOOK B",IF($K25&gt;=0.25,"Bank hook in PLAYBOOK","Hold - watch next run")))</f>
        <v/>
      </c>
      <c r="V25" s="27"/>
    </row>
    <row r="26" customFormat="false" ht="15" hidden="false" customHeight="true" outlineLevel="0" collapsed="false">
      <c r="A26" s="25"/>
      <c r="B26" s="26" t="str">
        <f aca="false">IF($A26="","",TEXT($A26,"ddd"))</f>
        <v/>
      </c>
      <c r="C26" s="27"/>
      <c r="D26" s="27"/>
      <c r="E26" s="27"/>
      <c r="F26" s="27"/>
      <c r="G26" s="27"/>
      <c r="H26" s="27"/>
      <c r="I26" s="27"/>
      <c r="J26" s="27"/>
      <c r="K26" s="28" t="str">
        <f aca="false">IF(OR($I26="",$J26=""),"",IFERROR($J26/$I26,""))</f>
        <v/>
      </c>
      <c r="L26" s="27"/>
      <c r="M26" s="27"/>
      <c r="N26" s="28" t="str">
        <f aca="false">IF(OR($L26="",$M26=""),"",IFERROR($L26/$M26,""))</f>
        <v/>
      </c>
      <c r="O26" s="27"/>
      <c r="P26" s="27"/>
      <c r="Q26" s="27"/>
      <c r="R26" s="27"/>
      <c r="S26" s="27"/>
      <c r="T26" s="26" t="str">
        <f aca="false">IF($K26="","",IF($K26&gt;=0.25,"WIN",IF($K26&gt;=0.2,"OK","FAIL")))</f>
        <v/>
      </c>
      <c r="U26" s="26" t="str">
        <f aca="false">IF($K26="","",IF($K26&lt;0.2,"REPOST WITH HOOK B",IF($K26&gt;=0.25,"Bank hook in PLAYBOOK","Hold - watch next run")))</f>
        <v/>
      </c>
      <c r="V26" s="27"/>
    </row>
    <row r="27" customFormat="false" ht="15" hidden="false" customHeight="true" outlineLevel="0" collapsed="false">
      <c r="A27" s="25"/>
      <c r="B27" s="26" t="str">
        <f aca="false">IF($A27="","",TEXT($A27,"ddd"))</f>
        <v/>
      </c>
      <c r="C27" s="27"/>
      <c r="D27" s="27"/>
      <c r="E27" s="27"/>
      <c r="F27" s="27"/>
      <c r="G27" s="27"/>
      <c r="H27" s="27"/>
      <c r="I27" s="27"/>
      <c r="J27" s="27"/>
      <c r="K27" s="28" t="str">
        <f aca="false">IF(OR($I27="",$J27=""),"",IFERROR($J27/$I27,""))</f>
        <v/>
      </c>
      <c r="L27" s="27"/>
      <c r="M27" s="27"/>
      <c r="N27" s="28" t="str">
        <f aca="false">IF(OR($L27="",$M27=""),"",IFERROR($L27/$M27,""))</f>
        <v/>
      </c>
      <c r="O27" s="27"/>
      <c r="P27" s="27"/>
      <c r="Q27" s="27"/>
      <c r="R27" s="27"/>
      <c r="S27" s="27"/>
      <c r="T27" s="26" t="str">
        <f aca="false">IF($K27="","",IF($K27&gt;=0.25,"WIN",IF($K27&gt;=0.2,"OK","FAIL")))</f>
        <v/>
      </c>
      <c r="U27" s="26" t="str">
        <f aca="false">IF($K27="","",IF($K27&lt;0.2,"REPOST WITH HOOK B",IF($K27&gt;=0.25,"Bank hook in PLAYBOOK","Hold - watch next run")))</f>
        <v/>
      </c>
      <c r="V27" s="27"/>
    </row>
    <row r="28" customFormat="false" ht="15" hidden="false" customHeight="true" outlineLevel="0" collapsed="false">
      <c r="A28" s="25"/>
      <c r="B28" s="26" t="str">
        <f aca="false">IF($A28="","",TEXT($A28,"ddd"))</f>
        <v/>
      </c>
      <c r="C28" s="27"/>
      <c r="D28" s="27"/>
      <c r="E28" s="27"/>
      <c r="F28" s="27"/>
      <c r="G28" s="27"/>
      <c r="H28" s="27"/>
      <c r="I28" s="27"/>
      <c r="J28" s="27"/>
      <c r="K28" s="28" t="str">
        <f aca="false">IF(OR($I28="",$J28=""),"",IFERROR($J28/$I28,""))</f>
        <v/>
      </c>
      <c r="L28" s="27"/>
      <c r="M28" s="27"/>
      <c r="N28" s="28" t="str">
        <f aca="false">IF(OR($L28="",$M28=""),"",IFERROR($L28/$M28,""))</f>
        <v/>
      </c>
      <c r="O28" s="27"/>
      <c r="P28" s="27"/>
      <c r="Q28" s="27"/>
      <c r="R28" s="27"/>
      <c r="S28" s="27"/>
      <c r="T28" s="26" t="str">
        <f aca="false">IF($K28="","",IF($K28&gt;=0.25,"WIN",IF($K28&gt;=0.2,"OK","FAIL")))</f>
        <v/>
      </c>
      <c r="U28" s="26" t="str">
        <f aca="false">IF($K28="","",IF($K28&lt;0.2,"REPOST WITH HOOK B",IF($K28&gt;=0.25,"Bank hook in PLAYBOOK","Hold - watch next run")))</f>
        <v/>
      </c>
      <c r="V28" s="27"/>
    </row>
    <row r="29" customFormat="false" ht="15" hidden="false" customHeight="true" outlineLevel="0" collapsed="false">
      <c r="A29" s="25"/>
      <c r="B29" s="26" t="str">
        <f aca="false">IF($A29="","",TEXT($A29,"ddd"))</f>
        <v/>
      </c>
      <c r="C29" s="27"/>
      <c r="D29" s="27"/>
      <c r="E29" s="27"/>
      <c r="F29" s="27"/>
      <c r="G29" s="27"/>
      <c r="H29" s="27"/>
      <c r="I29" s="27"/>
      <c r="J29" s="27"/>
      <c r="K29" s="28" t="str">
        <f aca="false">IF(OR($I29="",$J29=""),"",IFERROR($J29/$I29,""))</f>
        <v/>
      </c>
      <c r="L29" s="27"/>
      <c r="M29" s="27"/>
      <c r="N29" s="28" t="str">
        <f aca="false">IF(OR($L29="",$M29=""),"",IFERROR($L29/$M29,""))</f>
        <v/>
      </c>
      <c r="O29" s="27"/>
      <c r="P29" s="27"/>
      <c r="Q29" s="27"/>
      <c r="R29" s="27"/>
      <c r="S29" s="27"/>
      <c r="T29" s="26" t="str">
        <f aca="false">IF($K29="","",IF($K29&gt;=0.25,"WIN",IF($K29&gt;=0.2,"OK","FAIL")))</f>
        <v/>
      </c>
      <c r="U29" s="26" t="str">
        <f aca="false">IF($K29="","",IF($K29&lt;0.2,"REPOST WITH HOOK B",IF($K29&gt;=0.25,"Bank hook in PLAYBOOK","Hold - watch next run")))</f>
        <v/>
      </c>
      <c r="V29" s="27"/>
    </row>
    <row r="30" customFormat="false" ht="15" hidden="false" customHeight="true" outlineLevel="0" collapsed="false">
      <c r="A30" s="25"/>
      <c r="B30" s="26" t="str">
        <f aca="false">IF($A30="","",TEXT($A30,"ddd"))</f>
        <v/>
      </c>
      <c r="C30" s="27"/>
      <c r="D30" s="27"/>
      <c r="E30" s="27"/>
      <c r="F30" s="27"/>
      <c r="G30" s="27"/>
      <c r="H30" s="27"/>
      <c r="I30" s="27"/>
      <c r="J30" s="27"/>
      <c r="K30" s="28" t="str">
        <f aca="false">IF(OR($I30="",$J30=""),"",IFERROR($J30/$I30,""))</f>
        <v/>
      </c>
      <c r="L30" s="27"/>
      <c r="M30" s="27"/>
      <c r="N30" s="28" t="str">
        <f aca="false">IF(OR($L30="",$M30=""),"",IFERROR($L30/$M30,""))</f>
        <v/>
      </c>
      <c r="O30" s="27"/>
      <c r="P30" s="27"/>
      <c r="Q30" s="27"/>
      <c r="R30" s="27"/>
      <c r="S30" s="27"/>
      <c r="T30" s="26" t="str">
        <f aca="false">IF($K30="","",IF($K30&gt;=0.25,"WIN",IF($K30&gt;=0.2,"OK","FAIL")))</f>
        <v/>
      </c>
      <c r="U30" s="26" t="str">
        <f aca="false">IF($K30="","",IF($K30&lt;0.2,"REPOST WITH HOOK B",IF($K30&gt;=0.25,"Bank hook in PLAYBOOK","Hold - watch next run")))</f>
        <v/>
      </c>
      <c r="V30" s="27"/>
    </row>
    <row r="31" customFormat="false" ht="15" hidden="false" customHeight="true" outlineLevel="0" collapsed="false">
      <c r="A31" s="25"/>
      <c r="B31" s="26" t="str">
        <f aca="false">IF($A31="","",TEXT($A31,"ddd"))</f>
        <v/>
      </c>
      <c r="C31" s="27"/>
      <c r="D31" s="27"/>
      <c r="E31" s="27"/>
      <c r="F31" s="27"/>
      <c r="G31" s="27"/>
      <c r="H31" s="27"/>
      <c r="I31" s="27"/>
      <c r="J31" s="27"/>
      <c r="K31" s="28" t="str">
        <f aca="false">IF(OR($I31="",$J31=""),"",IFERROR($J31/$I31,""))</f>
        <v/>
      </c>
      <c r="L31" s="27"/>
      <c r="M31" s="27"/>
      <c r="N31" s="28" t="str">
        <f aca="false">IF(OR($L31="",$M31=""),"",IFERROR($L31/$M31,""))</f>
        <v/>
      </c>
      <c r="O31" s="27"/>
      <c r="P31" s="27"/>
      <c r="Q31" s="27"/>
      <c r="R31" s="27"/>
      <c r="S31" s="27"/>
      <c r="T31" s="26" t="str">
        <f aca="false">IF($K31="","",IF($K31&gt;=0.25,"WIN",IF($K31&gt;=0.2,"OK","FAIL")))</f>
        <v/>
      </c>
      <c r="U31" s="26" t="str">
        <f aca="false">IF($K31="","",IF($K31&lt;0.2,"REPOST WITH HOOK B",IF($K31&gt;=0.25,"Bank hook in PLAYBOOK","Hold - watch next run")))</f>
        <v/>
      </c>
      <c r="V31" s="27"/>
    </row>
    <row r="32" customFormat="false" ht="15" hidden="false" customHeight="true" outlineLevel="0" collapsed="false">
      <c r="A32" s="25"/>
      <c r="B32" s="26" t="str">
        <f aca="false">IF($A32="","",TEXT($A32,"ddd"))</f>
        <v/>
      </c>
      <c r="C32" s="27"/>
      <c r="D32" s="27"/>
      <c r="E32" s="27"/>
      <c r="F32" s="27"/>
      <c r="G32" s="27"/>
      <c r="H32" s="27"/>
      <c r="I32" s="27"/>
      <c r="J32" s="27"/>
      <c r="K32" s="28" t="str">
        <f aca="false">IF(OR($I32="",$J32=""),"",IFERROR($J32/$I32,""))</f>
        <v/>
      </c>
      <c r="L32" s="27"/>
      <c r="M32" s="27"/>
      <c r="N32" s="28" t="str">
        <f aca="false">IF(OR($L32="",$M32=""),"",IFERROR($L32/$M32,""))</f>
        <v/>
      </c>
      <c r="O32" s="27"/>
      <c r="P32" s="27"/>
      <c r="Q32" s="27"/>
      <c r="R32" s="27"/>
      <c r="S32" s="27"/>
      <c r="T32" s="26" t="str">
        <f aca="false">IF($K32="","",IF($K32&gt;=0.25,"WIN",IF($K32&gt;=0.2,"OK","FAIL")))</f>
        <v/>
      </c>
      <c r="U32" s="26" t="str">
        <f aca="false">IF($K32="","",IF($K32&lt;0.2,"REPOST WITH HOOK B",IF($K32&gt;=0.25,"Bank hook in PLAYBOOK","Hold - watch next run")))</f>
        <v/>
      </c>
      <c r="V32" s="27"/>
    </row>
    <row r="33" customFormat="false" ht="15" hidden="false" customHeight="true" outlineLevel="0" collapsed="false">
      <c r="A33" s="25"/>
      <c r="B33" s="26" t="str">
        <f aca="false">IF($A33="","",TEXT($A33,"ddd"))</f>
        <v/>
      </c>
      <c r="C33" s="27"/>
      <c r="D33" s="27"/>
      <c r="E33" s="27"/>
      <c r="F33" s="27"/>
      <c r="G33" s="27"/>
      <c r="H33" s="27"/>
      <c r="I33" s="27"/>
      <c r="J33" s="27"/>
      <c r="K33" s="28" t="str">
        <f aca="false">IF(OR($I33="",$J33=""),"",IFERROR($J33/$I33,""))</f>
        <v/>
      </c>
      <c r="L33" s="27"/>
      <c r="M33" s="27"/>
      <c r="N33" s="28" t="str">
        <f aca="false">IF(OR($L33="",$M33=""),"",IFERROR($L33/$M33,""))</f>
        <v/>
      </c>
      <c r="O33" s="27"/>
      <c r="P33" s="27"/>
      <c r="Q33" s="27"/>
      <c r="R33" s="27"/>
      <c r="S33" s="27"/>
      <c r="T33" s="26" t="str">
        <f aca="false">IF($K33="","",IF($K33&gt;=0.25,"WIN",IF($K33&gt;=0.2,"OK","FAIL")))</f>
        <v/>
      </c>
      <c r="U33" s="26" t="str">
        <f aca="false">IF($K33="","",IF($K33&lt;0.2,"REPOST WITH HOOK B",IF($K33&gt;=0.25,"Bank hook in PLAYBOOK","Hold - watch next run")))</f>
        <v/>
      </c>
      <c r="V33" s="27"/>
    </row>
    <row r="34" customFormat="false" ht="15" hidden="false" customHeight="true" outlineLevel="0" collapsed="false">
      <c r="A34" s="25"/>
      <c r="B34" s="26" t="str">
        <f aca="false">IF($A34="","",TEXT($A34,"ddd"))</f>
        <v/>
      </c>
      <c r="C34" s="27"/>
      <c r="D34" s="27"/>
      <c r="E34" s="27"/>
      <c r="F34" s="27"/>
      <c r="G34" s="27"/>
      <c r="H34" s="27"/>
      <c r="I34" s="27"/>
      <c r="J34" s="27"/>
      <c r="K34" s="28" t="str">
        <f aca="false">IF(OR($I34="",$J34=""),"",IFERROR($J34/$I34,""))</f>
        <v/>
      </c>
      <c r="L34" s="27"/>
      <c r="M34" s="27"/>
      <c r="N34" s="28" t="str">
        <f aca="false">IF(OR($L34="",$M34=""),"",IFERROR($L34/$M34,""))</f>
        <v/>
      </c>
      <c r="O34" s="27"/>
      <c r="P34" s="27"/>
      <c r="Q34" s="27"/>
      <c r="R34" s="27"/>
      <c r="S34" s="27"/>
      <c r="T34" s="26" t="str">
        <f aca="false">IF($K34="","",IF($K34&gt;=0.25,"WIN",IF($K34&gt;=0.2,"OK","FAIL")))</f>
        <v/>
      </c>
      <c r="U34" s="26" t="str">
        <f aca="false">IF($K34="","",IF($K34&lt;0.2,"REPOST WITH HOOK B",IF($K34&gt;=0.25,"Bank hook in PLAYBOOK","Hold - watch next run")))</f>
        <v/>
      </c>
      <c r="V34" s="27"/>
    </row>
    <row r="35" customFormat="false" ht="15" hidden="false" customHeight="true" outlineLevel="0" collapsed="false">
      <c r="A35" s="25"/>
      <c r="B35" s="26" t="str">
        <f aca="false">IF($A35="","",TEXT($A35,"ddd"))</f>
        <v/>
      </c>
      <c r="C35" s="27"/>
      <c r="D35" s="27"/>
      <c r="E35" s="27"/>
      <c r="F35" s="27"/>
      <c r="G35" s="27"/>
      <c r="H35" s="27"/>
      <c r="I35" s="27"/>
      <c r="J35" s="27"/>
      <c r="K35" s="28" t="str">
        <f aca="false">IF(OR($I35="",$J35=""),"",IFERROR($J35/$I35,""))</f>
        <v/>
      </c>
      <c r="L35" s="27"/>
      <c r="M35" s="27"/>
      <c r="N35" s="28" t="str">
        <f aca="false">IF(OR($L35="",$M35=""),"",IFERROR($L35/$M35,""))</f>
        <v/>
      </c>
      <c r="O35" s="27"/>
      <c r="P35" s="27"/>
      <c r="Q35" s="27"/>
      <c r="R35" s="27"/>
      <c r="S35" s="27"/>
      <c r="T35" s="26" t="str">
        <f aca="false">IF($K35="","",IF($K35&gt;=0.25,"WIN",IF($K35&gt;=0.2,"OK","FAIL")))</f>
        <v/>
      </c>
      <c r="U35" s="26" t="str">
        <f aca="false">IF($K35="","",IF($K35&lt;0.2,"REPOST WITH HOOK B",IF($K35&gt;=0.25,"Bank hook in PLAYBOOK","Hold - watch next run")))</f>
        <v/>
      </c>
      <c r="V35" s="27"/>
    </row>
    <row r="36" customFormat="false" ht="15" hidden="false" customHeight="true" outlineLevel="0" collapsed="false">
      <c r="A36" s="25"/>
      <c r="B36" s="26" t="str">
        <f aca="false">IF($A36="","",TEXT($A36,"ddd"))</f>
        <v/>
      </c>
      <c r="C36" s="27"/>
      <c r="D36" s="27"/>
      <c r="E36" s="27"/>
      <c r="F36" s="27"/>
      <c r="G36" s="27"/>
      <c r="H36" s="27"/>
      <c r="I36" s="27"/>
      <c r="J36" s="27"/>
      <c r="K36" s="28" t="str">
        <f aca="false">IF(OR($I36="",$J36=""),"",IFERROR($J36/$I36,""))</f>
        <v/>
      </c>
      <c r="L36" s="27"/>
      <c r="M36" s="27"/>
      <c r="N36" s="28" t="str">
        <f aca="false">IF(OR($L36="",$M36=""),"",IFERROR($L36/$M36,""))</f>
        <v/>
      </c>
      <c r="O36" s="27"/>
      <c r="P36" s="27"/>
      <c r="Q36" s="27"/>
      <c r="R36" s="27"/>
      <c r="S36" s="27"/>
      <c r="T36" s="26" t="str">
        <f aca="false">IF($K36="","",IF($K36&gt;=0.25,"WIN",IF($K36&gt;=0.2,"OK","FAIL")))</f>
        <v/>
      </c>
      <c r="U36" s="26" t="str">
        <f aca="false">IF($K36="","",IF($K36&lt;0.2,"REPOST WITH HOOK B",IF($K36&gt;=0.25,"Bank hook in PLAYBOOK","Hold - watch next run")))</f>
        <v/>
      </c>
      <c r="V36" s="27"/>
    </row>
    <row r="37" customFormat="false" ht="15" hidden="false" customHeight="true" outlineLevel="0" collapsed="false">
      <c r="A37" s="25"/>
      <c r="B37" s="26" t="str">
        <f aca="false">IF($A37="","",TEXT($A37,"ddd"))</f>
        <v/>
      </c>
      <c r="C37" s="27"/>
      <c r="D37" s="27"/>
      <c r="E37" s="27"/>
      <c r="F37" s="27"/>
      <c r="G37" s="27"/>
      <c r="H37" s="27"/>
      <c r="I37" s="27"/>
      <c r="J37" s="27"/>
      <c r="K37" s="28" t="str">
        <f aca="false">IF(OR($I37="",$J37=""),"",IFERROR($J37/$I37,""))</f>
        <v/>
      </c>
      <c r="L37" s="27"/>
      <c r="M37" s="27"/>
      <c r="N37" s="28" t="str">
        <f aca="false">IF(OR($L37="",$M37=""),"",IFERROR($L37/$M37,""))</f>
        <v/>
      </c>
      <c r="O37" s="27"/>
      <c r="P37" s="27"/>
      <c r="Q37" s="27"/>
      <c r="R37" s="27"/>
      <c r="S37" s="27"/>
      <c r="T37" s="26" t="str">
        <f aca="false">IF($K37="","",IF($K37&gt;=0.25,"WIN",IF($K37&gt;=0.2,"OK","FAIL")))</f>
        <v/>
      </c>
      <c r="U37" s="26" t="str">
        <f aca="false">IF($K37="","",IF($K37&lt;0.2,"REPOST WITH HOOK B",IF($K37&gt;=0.25,"Bank hook in PLAYBOOK","Hold - watch next run")))</f>
        <v/>
      </c>
      <c r="V37" s="27"/>
    </row>
    <row r="38" customFormat="false" ht="15" hidden="false" customHeight="true" outlineLevel="0" collapsed="false">
      <c r="A38" s="25"/>
      <c r="B38" s="26" t="str">
        <f aca="false">IF($A38="","",TEXT($A38,"ddd"))</f>
        <v/>
      </c>
      <c r="C38" s="27"/>
      <c r="D38" s="27"/>
      <c r="E38" s="27"/>
      <c r="F38" s="27"/>
      <c r="G38" s="27"/>
      <c r="H38" s="27"/>
      <c r="I38" s="27"/>
      <c r="J38" s="27"/>
      <c r="K38" s="28" t="str">
        <f aca="false">IF(OR($I38="",$J38=""),"",IFERROR($J38/$I38,""))</f>
        <v/>
      </c>
      <c r="L38" s="27"/>
      <c r="M38" s="27"/>
      <c r="N38" s="28" t="str">
        <f aca="false">IF(OR($L38="",$M38=""),"",IFERROR($L38/$M38,""))</f>
        <v/>
      </c>
      <c r="O38" s="27"/>
      <c r="P38" s="27"/>
      <c r="Q38" s="27"/>
      <c r="R38" s="27"/>
      <c r="S38" s="27"/>
      <c r="T38" s="26" t="str">
        <f aca="false">IF($K38="","",IF($K38&gt;=0.25,"WIN",IF($K38&gt;=0.2,"OK","FAIL")))</f>
        <v/>
      </c>
      <c r="U38" s="26" t="str">
        <f aca="false">IF($K38="","",IF($K38&lt;0.2,"REPOST WITH HOOK B",IF($K38&gt;=0.25,"Bank hook in PLAYBOOK","Hold - watch next run")))</f>
        <v/>
      </c>
      <c r="V38" s="27"/>
    </row>
    <row r="39" customFormat="false" ht="15" hidden="false" customHeight="true" outlineLevel="0" collapsed="false">
      <c r="A39" s="25"/>
      <c r="B39" s="26" t="str">
        <f aca="false">IF($A39="","",TEXT($A39,"ddd"))</f>
        <v/>
      </c>
      <c r="C39" s="27"/>
      <c r="D39" s="27"/>
      <c r="E39" s="27"/>
      <c r="F39" s="27"/>
      <c r="G39" s="27"/>
      <c r="H39" s="27"/>
      <c r="I39" s="27"/>
      <c r="J39" s="27"/>
      <c r="K39" s="28" t="str">
        <f aca="false">IF(OR($I39="",$J39=""),"",IFERROR($J39/$I39,""))</f>
        <v/>
      </c>
      <c r="L39" s="27"/>
      <c r="M39" s="27"/>
      <c r="N39" s="28" t="str">
        <f aca="false">IF(OR($L39="",$M39=""),"",IFERROR($L39/$M39,""))</f>
        <v/>
      </c>
      <c r="O39" s="27"/>
      <c r="P39" s="27"/>
      <c r="Q39" s="27"/>
      <c r="R39" s="27"/>
      <c r="S39" s="27"/>
      <c r="T39" s="26" t="str">
        <f aca="false">IF($K39="","",IF($K39&gt;=0.25,"WIN",IF($K39&gt;=0.2,"OK","FAIL")))</f>
        <v/>
      </c>
      <c r="U39" s="26" t="str">
        <f aca="false">IF($K39="","",IF($K39&lt;0.2,"REPOST WITH HOOK B",IF($K39&gt;=0.25,"Bank hook in PLAYBOOK","Hold - watch next run")))</f>
        <v/>
      </c>
      <c r="V39" s="27"/>
    </row>
    <row r="40" customFormat="false" ht="15" hidden="false" customHeight="true" outlineLevel="0" collapsed="false">
      <c r="A40" s="25"/>
      <c r="B40" s="26" t="str">
        <f aca="false">IF($A40="","",TEXT($A40,"ddd"))</f>
        <v/>
      </c>
      <c r="C40" s="27"/>
      <c r="D40" s="27"/>
      <c r="E40" s="27"/>
      <c r="F40" s="27"/>
      <c r="G40" s="27"/>
      <c r="H40" s="27"/>
      <c r="I40" s="27"/>
      <c r="J40" s="27"/>
      <c r="K40" s="28" t="str">
        <f aca="false">IF(OR($I40="",$J40=""),"",IFERROR($J40/$I40,""))</f>
        <v/>
      </c>
      <c r="L40" s="27"/>
      <c r="M40" s="27"/>
      <c r="N40" s="28" t="str">
        <f aca="false">IF(OR($L40="",$M40=""),"",IFERROR($L40/$M40,""))</f>
        <v/>
      </c>
      <c r="O40" s="27"/>
      <c r="P40" s="27"/>
      <c r="Q40" s="27"/>
      <c r="R40" s="27"/>
      <c r="S40" s="27"/>
      <c r="T40" s="26" t="str">
        <f aca="false">IF($K40="","",IF($K40&gt;=0.25,"WIN",IF($K40&gt;=0.2,"OK","FAIL")))</f>
        <v/>
      </c>
      <c r="U40" s="26" t="str">
        <f aca="false">IF($K40="","",IF($K40&lt;0.2,"REPOST WITH HOOK B",IF($K40&gt;=0.25,"Bank hook in PLAYBOOK","Hold - watch next run")))</f>
        <v/>
      </c>
      <c r="V40" s="27"/>
    </row>
    <row r="41" customFormat="false" ht="15" hidden="false" customHeight="true" outlineLevel="0" collapsed="false">
      <c r="A41" s="25"/>
      <c r="B41" s="26" t="str">
        <f aca="false">IF($A41="","",TEXT($A41,"ddd"))</f>
        <v/>
      </c>
      <c r="C41" s="27"/>
      <c r="D41" s="27"/>
      <c r="E41" s="27"/>
      <c r="F41" s="27"/>
      <c r="G41" s="27"/>
      <c r="H41" s="27"/>
      <c r="I41" s="27"/>
      <c r="J41" s="27"/>
      <c r="K41" s="28" t="str">
        <f aca="false">IF(OR($I41="",$J41=""),"",IFERROR($J41/$I41,""))</f>
        <v/>
      </c>
      <c r="L41" s="27"/>
      <c r="M41" s="27"/>
      <c r="N41" s="28" t="str">
        <f aca="false">IF(OR($L41="",$M41=""),"",IFERROR($L41/$M41,""))</f>
        <v/>
      </c>
      <c r="O41" s="27"/>
      <c r="P41" s="27"/>
      <c r="Q41" s="27"/>
      <c r="R41" s="27"/>
      <c r="S41" s="27"/>
      <c r="T41" s="26" t="str">
        <f aca="false">IF($K41="","",IF($K41&gt;=0.25,"WIN",IF($K41&gt;=0.2,"OK","FAIL")))</f>
        <v/>
      </c>
      <c r="U41" s="26" t="str">
        <f aca="false">IF($K41="","",IF($K41&lt;0.2,"REPOST WITH HOOK B",IF($K41&gt;=0.25,"Bank hook in PLAYBOOK","Hold - watch next run")))</f>
        <v/>
      </c>
      <c r="V41" s="27"/>
    </row>
    <row r="42" customFormat="false" ht="15" hidden="false" customHeight="true" outlineLevel="0" collapsed="false">
      <c r="A42" s="25"/>
      <c r="B42" s="26" t="str">
        <f aca="false">IF($A42="","",TEXT($A42,"ddd"))</f>
        <v/>
      </c>
      <c r="C42" s="27"/>
      <c r="D42" s="27"/>
      <c r="E42" s="27"/>
      <c r="F42" s="27"/>
      <c r="G42" s="27"/>
      <c r="H42" s="27"/>
      <c r="I42" s="27"/>
      <c r="J42" s="27"/>
      <c r="K42" s="28" t="str">
        <f aca="false">IF(OR($I42="",$J42=""),"",IFERROR($J42/$I42,""))</f>
        <v/>
      </c>
      <c r="L42" s="27"/>
      <c r="M42" s="27"/>
      <c r="N42" s="28" t="str">
        <f aca="false">IF(OR($L42="",$M42=""),"",IFERROR($L42/$M42,""))</f>
        <v/>
      </c>
      <c r="O42" s="27"/>
      <c r="P42" s="27"/>
      <c r="Q42" s="27"/>
      <c r="R42" s="27"/>
      <c r="S42" s="27"/>
      <c r="T42" s="26" t="str">
        <f aca="false">IF($K42="","",IF($K42&gt;=0.25,"WIN",IF($K42&gt;=0.2,"OK","FAIL")))</f>
        <v/>
      </c>
      <c r="U42" s="26" t="str">
        <f aca="false">IF($K42="","",IF($K42&lt;0.2,"REPOST WITH HOOK B",IF($K42&gt;=0.25,"Bank hook in PLAYBOOK","Hold - watch next run")))</f>
        <v/>
      </c>
      <c r="V42" s="27"/>
    </row>
    <row r="43" customFormat="false" ht="15" hidden="false" customHeight="true" outlineLevel="0" collapsed="false">
      <c r="A43" s="25"/>
      <c r="B43" s="26" t="str">
        <f aca="false">IF($A43="","",TEXT($A43,"ddd"))</f>
        <v/>
      </c>
      <c r="C43" s="27"/>
      <c r="D43" s="27"/>
      <c r="E43" s="27"/>
      <c r="F43" s="27"/>
      <c r="G43" s="27"/>
      <c r="H43" s="27"/>
      <c r="I43" s="27"/>
      <c r="J43" s="27"/>
      <c r="K43" s="28" t="str">
        <f aca="false">IF(OR($I43="",$J43=""),"",IFERROR($J43/$I43,""))</f>
        <v/>
      </c>
      <c r="L43" s="27"/>
      <c r="M43" s="27"/>
      <c r="N43" s="28" t="str">
        <f aca="false">IF(OR($L43="",$M43=""),"",IFERROR($L43/$M43,""))</f>
        <v/>
      </c>
      <c r="O43" s="27"/>
      <c r="P43" s="27"/>
      <c r="Q43" s="27"/>
      <c r="R43" s="27"/>
      <c r="S43" s="27"/>
      <c r="T43" s="26" t="str">
        <f aca="false">IF($K43="","",IF($K43&gt;=0.25,"WIN",IF($K43&gt;=0.2,"OK","FAIL")))</f>
        <v/>
      </c>
      <c r="U43" s="26" t="str">
        <f aca="false">IF($K43="","",IF($K43&lt;0.2,"REPOST WITH HOOK B",IF($K43&gt;=0.25,"Bank hook in PLAYBOOK","Hold - watch next run")))</f>
        <v/>
      </c>
      <c r="V43" s="27"/>
    </row>
    <row r="44" customFormat="false" ht="15" hidden="false" customHeight="true" outlineLevel="0" collapsed="false">
      <c r="A44" s="25"/>
      <c r="B44" s="26" t="str">
        <f aca="false">IF($A44="","",TEXT($A44,"ddd"))</f>
        <v/>
      </c>
      <c r="C44" s="27"/>
      <c r="D44" s="27"/>
      <c r="E44" s="27"/>
      <c r="F44" s="27"/>
      <c r="G44" s="27"/>
      <c r="H44" s="27"/>
      <c r="I44" s="27"/>
      <c r="J44" s="27"/>
      <c r="K44" s="28" t="str">
        <f aca="false">IF(OR($I44="",$J44=""),"",IFERROR($J44/$I44,""))</f>
        <v/>
      </c>
      <c r="L44" s="27"/>
      <c r="M44" s="27"/>
      <c r="N44" s="28" t="str">
        <f aca="false">IF(OR($L44="",$M44=""),"",IFERROR($L44/$M44,""))</f>
        <v/>
      </c>
      <c r="O44" s="27"/>
      <c r="P44" s="27"/>
      <c r="Q44" s="27"/>
      <c r="R44" s="27"/>
      <c r="S44" s="27"/>
      <c r="T44" s="26" t="str">
        <f aca="false">IF($K44="","",IF($K44&gt;=0.25,"WIN",IF($K44&gt;=0.2,"OK","FAIL")))</f>
        <v/>
      </c>
      <c r="U44" s="26" t="str">
        <f aca="false">IF($K44="","",IF($K44&lt;0.2,"REPOST WITH HOOK B",IF($K44&gt;=0.25,"Bank hook in PLAYBOOK","Hold - watch next run")))</f>
        <v/>
      </c>
      <c r="V44" s="27"/>
    </row>
    <row r="45" customFormat="false" ht="15" hidden="false" customHeight="true" outlineLevel="0" collapsed="false">
      <c r="A45" s="25"/>
      <c r="B45" s="26" t="str">
        <f aca="false">IF($A45="","",TEXT($A45,"ddd"))</f>
        <v/>
      </c>
      <c r="C45" s="27"/>
      <c r="D45" s="27"/>
      <c r="E45" s="27"/>
      <c r="F45" s="27"/>
      <c r="G45" s="27"/>
      <c r="H45" s="27"/>
      <c r="I45" s="27"/>
      <c r="J45" s="27"/>
      <c r="K45" s="28" t="str">
        <f aca="false">IF(OR($I45="",$J45=""),"",IFERROR($J45/$I45,""))</f>
        <v/>
      </c>
      <c r="L45" s="27"/>
      <c r="M45" s="27"/>
      <c r="N45" s="28" t="str">
        <f aca="false">IF(OR($L45="",$M45=""),"",IFERROR($L45/$M45,""))</f>
        <v/>
      </c>
      <c r="O45" s="27"/>
      <c r="P45" s="27"/>
      <c r="Q45" s="27"/>
      <c r="R45" s="27"/>
      <c r="S45" s="27"/>
      <c r="T45" s="26" t="str">
        <f aca="false">IF($K45="","",IF($K45&gt;=0.25,"WIN",IF($K45&gt;=0.2,"OK","FAIL")))</f>
        <v/>
      </c>
      <c r="U45" s="26" t="str">
        <f aca="false">IF($K45="","",IF($K45&lt;0.2,"REPOST WITH HOOK B",IF($K45&gt;=0.25,"Bank hook in PLAYBOOK","Hold - watch next run")))</f>
        <v/>
      </c>
      <c r="V45" s="27"/>
    </row>
    <row r="46" customFormat="false" ht="15" hidden="false" customHeight="true" outlineLevel="0" collapsed="false">
      <c r="A46" s="25"/>
      <c r="B46" s="26" t="str">
        <f aca="false">IF($A46="","",TEXT($A46,"ddd"))</f>
        <v/>
      </c>
      <c r="C46" s="27"/>
      <c r="D46" s="27"/>
      <c r="E46" s="27"/>
      <c r="F46" s="27"/>
      <c r="G46" s="27"/>
      <c r="H46" s="27"/>
      <c r="I46" s="27"/>
      <c r="J46" s="27"/>
      <c r="K46" s="28" t="str">
        <f aca="false">IF(OR($I46="",$J46=""),"",IFERROR($J46/$I46,""))</f>
        <v/>
      </c>
      <c r="L46" s="27"/>
      <c r="M46" s="27"/>
      <c r="N46" s="28" t="str">
        <f aca="false">IF(OR($L46="",$M46=""),"",IFERROR($L46/$M46,""))</f>
        <v/>
      </c>
      <c r="O46" s="27"/>
      <c r="P46" s="27"/>
      <c r="Q46" s="27"/>
      <c r="R46" s="27"/>
      <c r="S46" s="27"/>
      <c r="T46" s="26" t="str">
        <f aca="false">IF($K46="","",IF($K46&gt;=0.25,"WIN",IF($K46&gt;=0.2,"OK","FAIL")))</f>
        <v/>
      </c>
      <c r="U46" s="26" t="str">
        <f aca="false">IF($K46="","",IF($K46&lt;0.2,"REPOST WITH HOOK B",IF($K46&gt;=0.25,"Bank hook in PLAYBOOK","Hold - watch next run")))</f>
        <v/>
      </c>
      <c r="V46" s="27"/>
    </row>
    <row r="47" customFormat="false" ht="15" hidden="false" customHeight="true" outlineLevel="0" collapsed="false">
      <c r="A47" s="25"/>
      <c r="B47" s="26" t="str">
        <f aca="false">IF($A47="","",TEXT($A47,"ddd"))</f>
        <v/>
      </c>
      <c r="C47" s="27"/>
      <c r="D47" s="27"/>
      <c r="E47" s="27"/>
      <c r="F47" s="27"/>
      <c r="G47" s="27"/>
      <c r="H47" s="27"/>
      <c r="I47" s="27"/>
      <c r="J47" s="27"/>
      <c r="K47" s="28" t="str">
        <f aca="false">IF(OR($I47="",$J47=""),"",IFERROR($J47/$I47,""))</f>
        <v/>
      </c>
      <c r="L47" s="27"/>
      <c r="M47" s="27"/>
      <c r="N47" s="28" t="str">
        <f aca="false">IF(OR($L47="",$M47=""),"",IFERROR($L47/$M47,""))</f>
        <v/>
      </c>
      <c r="O47" s="27"/>
      <c r="P47" s="27"/>
      <c r="Q47" s="27"/>
      <c r="R47" s="27"/>
      <c r="S47" s="27"/>
      <c r="T47" s="26" t="str">
        <f aca="false">IF($K47="","",IF($K47&gt;=0.25,"WIN",IF($K47&gt;=0.2,"OK","FAIL")))</f>
        <v/>
      </c>
      <c r="U47" s="26" t="str">
        <f aca="false">IF($K47="","",IF($K47&lt;0.2,"REPOST WITH HOOK B",IF($K47&gt;=0.25,"Bank hook in PLAYBOOK","Hold - watch next run")))</f>
        <v/>
      </c>
      <c r="V47" s="27"/>
    </row>
    <row r="48" customFormat="false" ht="15" hidden="false" customHeight="true" outlineLevel="0" collapsed="false">
      <c r="A48" s="25"/>
      <c r="B48" s="26" t="str">
        <f aca="false">IF($A48="","",TEXT($A48,"ddd"))</f>
        <v/>
      </c>
      <c r="C48" s="27"/>
      <c r="D48" s="27"/>
      <c r="E48" s="27"/>
      <c r="F48" s="27"/>
      <c r="G48" s="27"/>
      <c r="H48" s="27"/>
      <c r="I48" s="27"/>
      <c r="J48" s="27"/>
      <c r="K48" s="28" t="str">
        <f aca="false">IF(OR($I48="",$J48=""),"",IFERROR($J48/$I48,""))</f>
        <v/>
      </c>
      <c r="L48" s="27"/>
      <c r="M48" s="27"/>
      <c r="N48" s="28" t="str">
        <f aca="false">IF(OR($L48="",$M48=""),"",IFERROR($L48/$M48,""))</f>
        <v/>
      </c>
      <c r="O48" s="27"/>
      <c r="P48" s="27"/>
      <c r="Q48" s="27"/>
      <c r="R48" s="27"/>
      <c r="S48" s="27"/>
      <c r="T48" s="26" t="str">
        <f aca="false">IF($K48="","",IF($K48&gt;=0.25,"WIN",IF($K48&gt;=0.2,"OK","FAIL")))</f>
        <v/>
      </c>
      <c r="U48" s="26" t="str">
        <f aca="false">IF($K48="","",IF($K48&lt;0.2,"REPOST WITH HOOK B",IF($K48&gt;=0.25,"Bank hook in PLAYBOOK","Hold - watch next run")))</f>
        <v/>
      </c>
      <c r="V48" s="27"/>
    </row>
    <row r="49" customFormat="false" ht="15" hidden="false" customHeight="true" outlineLevel="0" collapsed="false">
      <c r="A49" s="25"/>
      <c r="B49" s="26" t="str">
        <f aca="false">IF($A49="","",TEXT($A49,"ddd"))</f>
        <v/>
      </c>
      <c r="C49" s="27"/>
      <c r="D49" s="27"/>
      <c r="E49" s="27"/>
      <c r="F49" s="27"/>
      <c r="G49" s="27"/>
      <c r="H49" s="27"/>
      <c r="I49" s="27"/>
      <c r="J49" s="27"/>
      <c r="K49" s="28" t="str">
        <f aca="false">IF(OR($I49="",$J49=""),"",IFERROR($J49/$I49,""))</f>
        <v/>
      </c>
      <c r="L49" s="27"/>
      <c r="M49" s="27"/>
      <c r="N49" s="28" t="str">
        <f aca="false">IF(OR($L49="",$M49=""),"",IFERROR($L49/$M49,""))</f>
        <v/>
      </c>
      <c r="O49" s="27"/>
      <c r="P49" s="27"/>
      <c r="Q49" s="27"/>
      <c r="R49" s="27"/>
      <c r="S49" s="27"/>
      <c r="T49" s="26" t="str">
        <f aca="false">IF($K49="","",IF($K49&gt;=0.25,"WIN",IF($K49&gt;=0.2,"OK","FAIL")))</f>
        <v/>
      </c>
      <c r="U49" s="26" t="str">
        <f aca="false">IF($K49="","",IF($K49&lt;0.2,"REPOST WITH HOOK B",IF($K49&gt;=0.25,"Bank hook in PLAYBOOK","Hold - watch next run")))</f>
        <v/>
      </c>
      <c r="V49" s="27"/>
    </row>
    <row r="50" customFormat="false" ht="15" hidden="false" customHeight="true" outlineLevel="0" collapsed="false">
      <c r="A50" s="25"/>
      <c r="B50" s="26" t="str">
        <f aca="false">IF($A50="","",TEXT($A50,"ddd"))</f>
        <v/>
      </c>
      <c r="C50" s="27"/>
      <c r="D50" s="27"/>
      <c r="E50" s="27"/>
      <c r="F50" s="27"/>
      <c r="G50" s="27"/>
      <c r="H50" s="27"/>
      <c r="I50" s="27"/>
      <c r="J50" s="27"/>
      <c r="K50" s="28" t="str">
        <f aca="false">IF(OR($I50="",$J50=""),"",IFERROR($J50/$I50,""))</f>
        <v/>
      </c>
      <c r="L50" s="27"/>
      <c r="M50" s="27"/>
      <c r="N50" s="28" t="str">
        <f aca="false">IF(OR($L50="",$M50=""),"",IFERROR($L50/$M50,""))</f>
        <v/>
      </c>
      <c r="O50" s="27"/>
      <c r="P50" s="27"/>
      <c r="Q50" s="27"/>
      <c r="R50" s="27"/>
      <c r="S50" s="27"/>
      <c r="T50" s="26" t="str">
        <f aca="false">IF($K50="","",IF($K50&gt;=0.25,"WIN",IF($K50&gt;=0.2,"OK","FAIL")))</f>
        <v/>
      </c>
      <c r="U50" s="26" t="str">
        <f aca="false">IF($K50="","",IF($K50&lt;0.2,"REPOST WITH HOOK B",IF($K50&gt;=0.25,"Bank hook in PLAYBOOK","Hold - watch next run")))</f>
        <v/>
      </c>
      <c r="V50" s="27"/>
    </row>
    <row r="51" customFormat="false" ht="15" hidden="false" customHeight="true" outlineLevel="0" collapsed="false">
      <c r="A51" s="25"/>
      <c r="B51" s="26" t="str">
        <f aca="false">IF($A51="","",TEXT($A51,"ddd"))</f>
        <v/>
      </c>
      <c r="C51" s="27"/>
      <c r="D51" s="27"/>
      <c r="E51" s="27"/>
      <c r="F51" s="27"/>
      <c r="G51" s="27"/>
      <c r="H51" s="27"/>
      <c r="I51" s="27"/>
      <c r="J51" s="27"/>
      <c r="K51" s="28" t="str">
        <f aca="false">IF(OR($I51="",$J51=""),"",IFERROR($J51/$I51,""))</f>
        <v/>
      </c>
      <c r="L51" s="27"/>
      <c r="M51" s="27"/>
      <c r="N51" s="28" t="str">
        <f aca="false">IF(OR($L51="",$M51=""),"",IFERROR($L51/$M51,""))</f>
        <v/>
      </c>
      <c r="O51" s="27"/>
      <c r="P51" s="27"/>
      <c r="Q51" s="27"/>
      <c r="R51" s="27"/>
      <c r="S51" s="27"/>
      <c r="T51" s="26" t="str">
        <f aca="false">IF($K51="","",IF($K51&gt;=0.25,"WIN",IF($K51&gt;=0.2,"OK","FAIL")))</f>
        <v/>
      </c>
      <c r="U51" s="26" t="str">
        <f aca="false">IF($K51="","",IF($K51&lt;0.2,"REPOST WITH HOOK B",IF($K51&gt;=0.25,"Bank hook in PLAYBOOK","Hold - watch next run")))</f>
        <v/>
      </c>
      <c r="V51" s="27"/>
    </row>
    <row r="52" customFormat="false" ht="15" hidden="false" customHeight="true" outlineLevel="0" collapsed="false">
      <c r="A52" s="25"/>
      <c r="B52" s="26" t="str">
        <f aca="false">IF($A52="","",TEXT($A52,"ddd"))</f>
        <v/>
      </c>
      <c r="C52" s="27"/>
      <c r="D52" s="27"/>
      <c r="E52" s="27"/>
      <c r="F52" s="27"/>
      <c r="G52" s="27"/>
      <c r="H52" s="27"/>
      <c r="I52" s="27"/>
      <c r="J52" s="27"/>
      <c r="K52" s="28" t="str">
        <f aca="false">IF(OR($I52="",$J52=""),"",IFERROR($J52/$I52,""))</f>
        <v/>
      </c>
      <c r="L52" s="27"/>
      <c r="M52" s="27"/>
      <c r="N52" s="28" t="str">
        <f aca="false">IF(OR($L52="",$M52=""),"",IFERROR($L52/$M52,""))</f>
        <v/>
      </c>
      <c r="O52" s="27"/>
      <c r="P52" s="27"/>
      <c r="Q52" s="27"/>
      <c r="R52" s="27"/>
      <c r="S52" s="27"/>
      <c r="T52" s="26" t="str">
        <f aca="false">IF($K52="","",IF($K52&gt;=0.25,"WIN",IF($K52&gt;=0.2,"OK","FAIL")))</f>
        <v/>
      </c>
      <c r="U52" s="26" t="str">
        <f aca="false">IF($K52="","",IF($K52&lt;0.2,"REPOST WITH HOOK B",IF($K52&gt;=0.25,"Bank hook in PLAYBOOK","Hold - watch next run")))</f>
        <v/>
      </c>
      <c r="V52" s="27"/>
    </row>
    <row r="53" customFormat="false" ht="15" hidden="false" customHeight="true" outlineLevel="0" collapsed="false">
      <c r="A53" s="25"/>
      <c r="B53" s="26" t="str">
        <f aca="false">IF($A53="","",TEXT($A53,"ddd"))</f>
        <v/>
      </c>
      <c r="C53" s="27"/>
      <c r="D53" s="27"/>
      <c r="E53" s="27"/>
      <c r="F53" s="27"/>
      <c r="G53" s="27"/>
      <c r="H53" s="27"/>
      <c r="I53" s="27"/>
      <c r="J53" s="27"/>
      <c r="K53" s="28" t="str">
        <f aca="false">IF(OR($I53="",$J53=""),"",IFERROR($J53/$I53,""))</f>
        <v/>
      </c>
      <c r="L53" s="27"/>
      <c r="M53" s="27"/>
      <c r="N53" s="28" t="str">
        <f aca="false">IF(OR($L53="",$M53=""),"",IFERROR($L53/$M53,""))</f>
        <v/>
      </c>
      <c r="O53" s="27"/>
      <c r="P53" s="27"/>
      <c r="Q53" s="27"/>
      <c r="R53" s="27"/>
      <c r="S53" s="27"/>
      <c r="T53" s="26" t="str">
        <f aca="false">IF($K53="","",IF($K53&gt;=0.25,"WIN",IF($K53&gt;=0.2,"OK","FAIL")))</f>
        <v/>
      </c>
      <c r="U53" s="26" t="str">
        <f aca="false">IF($K53="","",IF($K53&lt;0.2,"REPOST WITH HOOK B",IF($K53&gt;=0.25,"Bank hook in PLAYBOOK","Hold - watch next run")))</f>
        <v/>
      </c>
      <c r="V53" s="27"/>
    </row>
    <row r="54" customFormat="false" ht="15" hidden="false" customHeight="true" outlineLevel="0" collapsed="false">
      <c r="A54" s="25"/>
      <c r="B54" s="26" t="str">
        <f aca="false">IF($A54="","",TEXT($A54,"ddd"))</f>
        <v/>
      </c>
      <c r="C54" s="27"/>
      <c r="D54" s="27"/>
      <c r="E54" s="27"/>
      <c r="F54" s="27"/>
      <c r="G54" s="27"/>
      <c r="H54" s="27"/>
      <c r="I54" s="27"/>
      <c r="J54" s="27"/>
      <c r="K54" s="28" t="str">
        <f aca="false">IF(OR($I54="",$J54=""),"",IFERROR($J54/$I54,""))</f>
        <v/>
      </c>
      <c r="L54" s="27"/>
      <c r="M54" s="27"/>
      <c r="N54" s="28" t="str">
        <f aca="false">IF(OR($L54="",$M54=""),"",IFERROR($L54/$M54,""))</f>
        <v/>
      </c>
      <c r="O54" s="27"/>
      <c r="P54" s="27"/>
      <c r="Q54" s="27"/>
      <c r="R54" s="27"/>
      <c r="S54" s="27"/>
      <c r="T54" s="26" t="str">
        <f aca="false">IF($K54="","",IF($K54&gt;=0.25,"WIN",IF($K54&gt;=0.2,"OK","FAIL")))</f>
        <v/>
      </c>
      <c r="U54" s="26" t="str">
        <f aca="false">IF($K54="","",IF($K54&lt;0.2,"REPOST WITH HOOK B",IF($K54&gt;=0.25,"Bank hook in PLAYBOOK","Hold - watch next run")))</f>
        <v/>
      </c>
      <c r="V54" s="27"/>
    </row>
    <row r="55" customFormat="false" ht="15" hidden="false" customHeight="true" outlineLevel="0" collapsed="false">
      <c r="A55" s="25"/>
      <c r="B55" s="26" t="str">
        <f aca="false">IF($A55="","",TEXT($A55,"ddd"))</f>
        <v/>
      </c>
      <c r="C55" s="27"/>
      <c r="D55" s="27"/>
      <c r="E55" s="27"/>
      <c r="F55" s="27"/>
      <c r="G55" s="27"/>
      <c r="H55" s="27"/>
      <c r="I55" s="27"/>
      <c r="J55" s="27"/>
      <c r="K55" s="28" t="str">
        <f aca="false">IF(OR($I55="",$J55=""),"",IFERROR($J55/$I55,""))</f>
        <v/>
      </c>
      <c r="L55" s="27"/>
      <c r="M55" s="27"/>
      <c r="N55" s="28" t="str">
        <f aca="false">IF(OR($L55="",$M55=""),"",IFERROR($L55/$M55,""))</f>
        <v/>
      </c>
      <c r="O55" s="27"/>
      <c r="P55" s="27"/>
      <c r="Q55" s="27"/>
      <c r="R55" s="27"/>
      <c r="S55" s="27"/>
      <c r="T55" s="26" t="str">
        <f aca="false">IF($K55="","",IF($K55&gt;=0.25,"WIN",IF($K55&gt;=0.2,"OK","FAIL")))</f>
        <v/>
      </c>
      <c r="U55" s="26" t="str">
        <f aca="false">IF($K55="","",IF($K55&lt;0.2,"REPOST WITH HOOK B",IF($K55&gt;=0.25,"Bank hook in PLAYBOOK","Hold - watch next run")))</f>
        <v/>
      </c>
      <c r="V55" s="27"/>
    </row>
    <row r="56" customFormat="false" ht="15" hidden="false" customHeight="true" outlineLevel="0" collapsed="false">
      <c r="A56" s="25"/>
      <c r="B56" s="26" t="str">
        <f aca="false">IF($A56="","",TEXT($A56,"ddd"))</f>
        <v/>
      </c>
      <c r="C56" s="27"/>
      <c r="D56" s="27"/>
      <c r="E56" s="27"/>
      <c r="F56" s="27"/>
      <c r="G56" s="27"/>
      <c r="H56" s="27"/>
      <c r="I56" s="27"/>
      <c r="J56" s="27"/>
      <c r="K56" s="28" t="str">
        <f aca="false">IF(OR($I56="",$J56=""),"",IFERROR($J56/$I56,""))</f>
        <v/>
      </c>
      <c r="L56" s="27"/>
      <c r="M56" s="27"/>
      <c r="N56" s="28" t="str">
        <f aca="false">IF(OR($L56="",$M56=""),"",IFERROR($L56/$M56,""))</f>
        <v/>
      </c>
      <c r="O56" s="27"/>
      <c r="P56" s="27"/>
      <c r="Q56" s="27"/>
      <c r="R56" s="27"/>
      <c r="S56" s="27"/>
      <c r="T56" s="26" t="str">
        <f aca="false">IF($K56="","",IF($K56&gt;=0.25,"WIN",IF($K56&gt;=0.2,"OK","FAIL")))</f>
        <v/>
      </c>
      <c r="U56" s="26" t="str">
        <f aca="false">IF($K56="","",IF($K56&lt;0.2,"REPOST WITH HOOK B",IF($K56&gt;=0.25,"Bank hook in PLAYBOOK","Hold - watch next run")))</f>
        <v/>
      </c>
      <c r="V56" s="27"/>
    </row>
    <row r="57" customFormat="false" ht="15" hidden="false" customHeight="true" outlineLevel="0" collapsed="false">
      <c r="A57" s="25"/>
      <c r="B57" s="26" t="str">
        <f aca="false">IF($A57="","",TEXT($A57,"ddd"))</f>
        <v/>
      </c>
      <c r="C57" s="27"/>
      <c r="D57" s="27"/>
      <c r="E57" s="27"/>
      <c r="F57" s="27"/>
      <c r="G57" s="27"/>
      <c r="H57" s="27"/>
      <c r="I57" s="27"/>
      <c r="J57" s="27"/>
      <c r="K57" s="28" t="str">
        <f aca="false">IF(OR($I57="",$J57=""),"",IFERROR($J57/$I57,""))</f>
        <v/>
      </c>
      <c r="L57" s="27"/>
      <c r="M57" s="27"/>
      <c r="N57" s="28" t="str">
        <f aca="false">IF(OR($L57="",$M57=""),"",IFERROR($L57/$M57,""))</f>
        <v/>
      </c>
      <c r="O57" s="27"/>
      <c r="P57" s="27"/>
      <c r="Q57" s="27"/>
      <c r="R57" s="27"/>
      <c r="S57" s="27"/>
      <c r="T57" s="26" t="str">
        <f aca="false">IF($K57="","",IF($K57&gt;=0.25,"WIN",IF($K57&gt;=0.2,"OK","FAIL")))</f>
        <v/>
      </c>
      <c r="U57" s="26" t="str">
        <f aca="false">IF($K57="","",IF($K57&lt;0.2,"REPOST WITH HOOK B",IF($K57&gt;=0.25,"Bank hook in PLAYBOOK","Hold - watch next run")))</f>
        <v/>
      </c>
      <c r="V57" s="27"/>
    </row>
    <row r="58" customFormat="false" ht="15" hidden="false" customHeight="true" outlineLevel="0" collapsed="false">
      <c r="A58" s="25"/>
      <c r="B58" s="26" t="str">
        <f aca="false">IF($A58="","",TEXT($A58,"ddd"))</f>
        <v/>
      </c>
      <c r="C58" s="27"/>
      <c r="D58" s="27"/>
      <c r="E58" s="27"/>
      <c r="F58" s="27"/>
      <c r="G58" s="27"/>
      <c r="H58" s="27"/>
      <c r="I58" s="27"/>
      <c r="J58" s="27"/>
      <c r="K58" s="28" t="str">
        <f aca="false">IF(OR($I58="",$J58=""),"",IFERROR($J58/$I58,""))</f>
        <v/>
      </c>
      <c r="L58" s="27"/>
      <c r="M58" s="27"/>
      <c r="N58" s="28" t="str">
        <f aca="false">IF(OR($L58="",$M58=""),"",IFERROR($L58/$M58,""))</f>
        <v/>
      </c>
      <c r="O58" s="27"/>
      <c r="P58" s="27"/>
      <c r="Q58" s="27"/>
      <c r="R58" s="27"/>
      <c r="S58" s="27"/>
      <c r="T58" s="26" t="str">
        <f aca="false">IF($K58="","",IF($K58&gt;=0.25,"WIN",IF($K58&gt;=0.2,"OK","FAIL")))</f>
        <v/>
      </c>
      <c r="U58" s="26" t="str">
        <f aca="false">IF($K58="","",IF($K58&lt;0.2,"REPOST WITH HOOK B",IF($K58&gt;=0.25,"Bank hook in PLAYBOOK","Hold - watch next run")))</f>
        <v/>
      </c>
      <c r="V58" s="27"/>
    </row>
    <row r="59" customFormat="false" ht="15" hidden="false" customHeight="true" outlineLevel="0" collapsed="false">
      <c r="A59" s="25"/>
      <c r="B59" s="26" t="str">
        <f aca="false">IF($A59="","",TEXT($A59,"ddd"))</f>
        <v/>
      </c>
      <c r="C59" s="27"/>
      <c r="D59" s="27"/>
      <c r="E59" s="27"/>
      <c r="F59" s="27"/>
      <c r="G59" s="27"/>
      <c r="H59" s="27"/>
      <c r="I59" s="27"/>
      <c r="J59" s="27"/>
      <c r="K59" s="28" t="str">
        <f aca="false">IF(OR($I59="",$J59=""),"",IFERROR($J59/$I59,""))</f>
        <v/>
      </c>
      <c r="L59" s="27"/>
      <c r="M59" s="27"/>
      <c r="N59" s="28" t="str">
        <f aca="false">IF(OR($L59="",$M59=""),"",IFERROR($L59/$M59,""))</f>
        <v/>
      </c>
      <c r="O59" s="27"/>
      <c r="P59" s="27"/>
      <c r="Q59" s="27"/>
      <c r="R59" s="27"/>
      <c r="S59" s="27"/>
      <c r="T59" s="26" t="str">
        <f aca="false">IF($K59="","",IF($K59&gt;=0.25,"WIN",IF($K59&gt;=0.2,"OK","FAIL")))</f>
        <v/>
      </c>
      <c r="U59" s="26" t="str">
        <f aca="false">IF($K59="","",IF($K59&lt;0.2,"REPOST WITH HOOK B",IF($K59&gt;=0.25,"Bank hook in PLAYBOOK","Hold - watch next run")))</f>
        <v/>
      </c>
      <c r="V59" s="27"/>
    </row>
    <row r="60" customFormat="false" ht="15" hidden="false" customHeight="true" outlineLevel="0" collapsed="false">
      <c r="A60" s="25"/>
      <c r="B60" s="26" t="str">
        <f aca="false">IF($A60="","",TEXT($A60,"ddd"))</f>
        <v/>
      </c>
      <c r="C60" s="27"/>
      <c r="D60" s="27"/>
      <c r="E60" s="27"/>
      <c r="F60" s="27"/>
      <c r="G60" s="27"/>
      <c r="H60" s="27"/>
      <c r="I60" s="27"/>
      <c r="J60" s="27"/>
      <c r="K60" s="28" t="str">
        <f aca="false">IF(OR($I60="",$J60=""),"",IFERROR($J60/$I60,""))</f>
        <v/>
      </c>
      <c r="L60" s="27"/>
      <c r="M60" s="27"/>
      <c r="N60" s="28" t="str">
        <f aca="false">IF(OR($L60="",$M60=""),"",IFERROR($L60/$M60,""))</f>
        <v/>
      </c>
      <c r="O60" s="27"/>
      <c r="P60" s="27"/>
      <c r="Q60" s="27"/>
      <c r="R60" s="27"/>
      <c r="S60" s="27"/>
      <c r="T60" s="26" t="str">
        <f aca="false">IF($K60="","",IF($K60&gt;=0.25,"WIN",IF($K60&gt;=0.2,"OK","FAIL")))</f>
        <v/>
      </c>
      <c r="U60" s="26" t="str">
        <f aca="false">IF($K60="","",IF($K60&lt;0.2,"REPOST WITH HOOK B",IF($K60&gt;=0.25,"Bank hook in PLAYBOOK","Hold - watch next run")))</f>
        <v/>
      </c>
      <c r="V60" s="27"/>
    </row>
    <row r="61" customFormat="false" ht="15" hidden="false" customHeight="true" outlineLevel="0" collapsed="false">
      <c r="A61" s="25"/>
      <c r="B61" s="26" t="str">
        <f aca="false">IF($A61="","",TEXT($A61,"ddd"))</f>
        <v/>
      </c>
      <c r="C61" s="27"/>
      <c r="D61" s="27"/>
      <c r="E61" s="27"/>
      <c r="F61" s="27"/>
      <c r="G61" s="27"/>
      <c r="H61" s="27"/>
      <c r="I61" s="27"/>
      <c r="J61" s="27"/>
      <c r="K61" s="28" t="str">
        <f aca="false">IF(OR($I61="",$J61=""),"",IFERROR($J61/$I61,""))</f>
        <v/>
      </c>
      <c r="L61" s="27"/>
      <c r="M61" s="27"/>
      <c r="N61" s="28" t="str">
        <f aca="false">IF(OR($L61="",$M61=""),"",IFERROR($L61/$M61,""))</f>
        <v/>
      </c>
      <c r="O61" s="27"/>
      <c r="P61" s="27"/>
      <c r="Q61" s="27"/>
      <c r="R61" s="27"/>
      <c r="S61" s="27"/>
      <c r="T61" s="26" t="str">
        <f aca="false">IF($K61="","",IF($K61&gt;=0.25,"WIN",IF($K61&gt;=0.2,"OK","FAIL")))</f>
        <v/>
      </c>
      <c r="U61" s="26" t="str">
        <f aca="false">IF($K61="","",IF($K61&lt;0.2,"REPOST WITH HOOK B",IF($K61&gt;=0.25,"Bank hook in PLAYBOOK","Hold - watch next run")))</f>
        <v/>
      </c>
      <c r="V61" s="27"/>
    </row>
    <row r="62" customFormat="false" ht="15" hidden="false" customHeight="true" outlineLevel="0" collapsed="false">
      <c r="A62" s="25"/>
      <c r="B62" s="26" t="str">
        <f aca="false">IF($A62="","",TEXT($A62,"ddd"))</f>
        <v/>
      </c>
      <c r="C62" s="27"/>
      <c r="D62" s="27"/>
      <c r="E62" s="27"/>
      <c r="F62" s="27"/>
      <c r="G62" s="27"/>
      <c r="H62" s="27"/>
      <c r="I62" s="27"/>
      <c r="J62" s="27"/>
      <c r="K62" s="28" t="str">
        <f aca="false">IF(OR($I62="",$J62=""),"",IFERROR($J62/$I62,""))</f>
        <v/>
      </c>
      <c r="L62" s="27"/>
      <c r="M62" s="27"/>
      <c r="N62" s="28" t="str">
        <f aca="false">IF(OR($L62="",$M62=""),"",IFERROR($L62/$M62,""))</f>
        <v/>
      </c>
      <c r="O62" s="27"/>
      <c r="P62" s="27"/>
      <c r="Q62" s="27"/>
      <c r="R62" s="27"/>
      <c r="S62" s="27"/>
      <c r="T62" s="26" t="str">
        <f aca="false">IF($K62="","",IF($K62&gt;=0.25,"WIN",IF($K62&gt;=0.2,"OK","FAIL")))</f>
        <v/>
      </c>
      <c r="U62" s="26" t="str">
        <f aca="false">IF($K62="","",IF($K62&lt;0.2,"REPOST WITH HOOK B",IF($K62&gt;=0.25,"Bank hook in PLAYBOOK","Hold - watch next run")))</f>
        <v/>
      </c>
      <c r="V62" s="27"/>
    </row>
    <row r="63" customFormat="false" ht="15" hidden="false" customHeight="true" outlineLevel="0" collapsed="false">
      <c r="A63" s="25"/>
      <c r="B63" s="26" t="str">
        <f aca="false">IF($A63="","",TEXT($A63,"ddd"))</f>
        <v/>
      </c>
      <c r="C63" s="27"/>
      <c r="D63" s="27"/>
      <c r="E63" s="27"/>
      <c r="F63" s="27"/>
      <c r="G63" s="27"/>
      <c r="H63" s="27"/>
      <c r="I63" s="27"/>
      <c r="J63" s="27"/>
      <c r="K63" s="28" t="str">
        <f aca="false">IF(OR($I63="",$J63=""),"",IFERROR($J63/$I63,""))</f>
        <v/>
      </c>
      <c r="L63" s="27"/>
      <c r="M63" s="27"/>
      <c r="N63" s="28" t="str">
        <f aca="false">IF(OR($L63="",$M63=""),"",IFERROR($L63/$M63,""))</f>
        <v/>
      </c>
      <c r="O63" s="27"/>
      <c r="P63" s="27"/>
      <c r="Q63" s="27"/>
      <c r="R63" s="27"/>
      <c r="S63" s="27"/>
      <c r="T63" s="26" t="str">
        <f aca="false">IF($K63="","",IF($K63&gt;=0.25,"WIN",IF($K63&gt;=0.2,"OK","FAIL")))</f>
        <v/>
      </c>
      <c r="U63" s="26" t="str">
        <f aca="false">IF($K63="","",IF($K63&lt;0.2,"REPOST WITH HOOK B",IF($K63&gt;=0.25,"Bank hook in PLAYBOOK","Hold - watch next run")))</f>
        <v/>
      </c>
      <c r="V63" s="27"/>
    </row>
    <row r="64" customFormat="false" ht="15" hidden="false" customHeight="true" outlineLevel="0" collapsed="false">
      <c r="A64" s="25"/>
      <c r="B64" s="26" t="str">
        <f aca="false">IF($A64="","",TEXT($A64,"ddd"))</f>
        <v/>
      </c>
      <c r="C64" s="27"/>
      <c r="D64" s="27"/>
      <c r="E64" s="27"/>
      <c r="F64" s="27"/>
      <c r="G64" s="27"/>
      <c r="H64" s="27"/>
      <c r="I64" s="27"/>
      <c r="J64" s="27"/>
      <c r="K64" s="28" t="str">
        <f aca="false">IF(OR($I64="",$J64=""),"",IFERROR($J64/$I64,""))</f>
        <v/>
      </c>
      <c r="L64" s="27"/>
      <c r="M64" s="27"/>
      <c r="N64" s="28" t="str">
        <f aca="false">IF(OR($L64="",$M64=""),"",IFERROR($L64/$M64,""))</f>
        <v/>
      </c>
      <c r="O64" s="27"/>
      <c r="P64" s="27"/>
      <c r="Q64" s="27"/>
      <c r="R64" s="27"/>
      <c r="S64" s="27"/>
      <c r="T64" s="26" t="str">
        <f aca="false">IF($K64="","",IF($K64&gt;=0.25,"WIN",IF($K64&gt;=0.2,"OK","FAIL")))</f>
        <v/>
      </c>
      <c r="U64" s="26" t="str">
        <f aca="false">IF($K64="","",IF($K64&lt;0.2,"REPOST WITH HOOK B",IF($K64&gt;=0.25,"Bank hook in PLAYBOOK","Hold - watch next run")))</f>
        <v/>
      </c>
      <c r="V64" s="27"/>
    </row>
    <row r="65" customFormat="false" ht="15" hidden="false" customHeight="true" outlineLevel="0" collapsed="false">
      <c r="A65" s="25"/>
      <c r="B65" s="26" t="str">
        <f aca="false">IF($A65="","",TEXT($A65,"ddd"))</f>
        <v/>
      </c>
      <c r="C65" s="27"/>
      <c r="D65" s="27"/>
      <c r="E65" s="27"/>
      <c r="F65" s="27"/>
      <c r="G65" s="27"/>
      <c r="H65" s="27"/>
      <c r="I65" s="27"/>
      <c r="J65" s="27"/>
      <c r="K65" s="28" t="str">
        <f aca="false">IF(OR($I65="",$J65=""),"",IFERROR($J65/$I65,""))</f>
        <v/>
      </c>
      <c r="L65" s="27"/>
      <c r="M65" s="27"/>
      <c r="N65" s="28" t="str">
        <f aca="false">IF(OR($L65="",$M65=""),"",IFERROR($L65/$M65,""))</f>
        <v/>
      </c>
      <c r="O65" s="27"/>
      <c r="P65" s="27"/>
      <c r="Q65" s="27"/>
      <c r="R65" s="27"/>
      <c r="S65" s="27"/>
      <c r="T65" s="26" t="str">
        <f aca="false">IF($K65="","",IF($K65&gt;=0.25,"WIN",IF($K65&gt;=0.2,"OK","FAIL")))</f>
        <v/>
      </c>
      <c r="U65" s="26" t="str">
        <f aca="false">IF($K65="","",IF($K65&lt;0.2,"REPOST WITH HOOK B",IF($K65&gt;=0.25,"Bank hook in PLAYBOOK","Hold - watch next run")))</f>
        <v/>
      </c>
      <c r="V65" s="27"/>
    </row>
    <row r="66" customFormat="false" ht="15" hidden="false" customHeight="true" outlineLevel="0" collapsed="false">
      <c r="A66" s="25"/>
      <c r="B66" s="26" t="str">
        <f aca="false">IF($A66="","",TEXT($A66,"ddd"))</f>
        <v/>
      </c>
      <c r="C66" s="27"/>
      <c r="D66" s="27"/>
      <c r="E66" s="27"/>
      <c r="F66" s="27"/>
      <c r="G66" s="27"/>
      <c r="H66" s="27"/>
      <c r="I66" s="27"/>
      <c r="J66" s="27"/>
      <c r="K66" s="28" t="str">
        <f aca="false">IF(OR($I66="",$J66=""),"",IFERROR($J66/$I66,""))</f>
        <v/>
      </c>
      <c r="L66" s="27"/>
      <c r="M66" s="27"/>
      <c r="N66" s="28" t="str">
        <f aca="false">IF(OR($L66="",$M66=""),"",IFERROR($L66/$M66,""))</f>
        <v/>
      </c>
      <c r="O66" s="27"/>
      <c r="P66" s="27"/>
      <c r="Q66" s="27"/>
      <c r="R66" s="27"/>
      <c r="S66" s="27"/>
      <c r="T66" s="26" t="str">
        <f aca="false">IF($K66="","",IF($K66&gt;=0.25,"WIN",IF($K66&gt;=0.2,"OK","FAIL")))</f>
        <v/>
      </c>
      <c r="U66" s="26" t="str">
        <f aca="false">IF($K66="","",IF($K66&lt;0.2,"REPOST WITH HOOK B",IF($K66&gt;=0.25,"Bank hook in PLAYBOOK","Hold - watch next run")))</f>
        <v/>
      </c>
      <c r="V66" s="27"/>
    </row>
    <row r="67" customFormat="false" ht="15" hidden="false" customHeight="true" outlineLevel="0" collapsed="false">
      <c r="A67" s="25"/>
      <c r="B67" s="26" t="str">
        <f aca="false">IF($A67="","",TEXT($A67,"ddd"))</f>
        <v/>
      </c>
      <c r="C67" s="27"/>
      <c r="D67" s="27"/>
      <c r="E67" s="27"/>
      <c r="F67" s="27"/>
      <c r="G67" s="27"/>
      <c r="H67" s="27"/>
      <c r="I67" s="27"/>
      <c r="J67" s="27"/>
      <c r="K67" s="28" t="str">
        <f aca="false">IF(OR($I67="",$J67=""),"",IFERROR($J67/$I67,""))</f>
        <v/>
      </c>
      <c r="L67" s="27"/>
      <c r="M67" s="27"/>
      <c r="N67" s="28" t="str">
        <f aca="false">IF(OR($L67="",$M67=""),"",IFERROR($L67/$M67,""))</f>
        <v/>
      </c>
      <c r="O67" s="27"/>
      <c r="P67" s="27"/>
      <c r="Q67" s="27"/>
      <c r="R67" s="27"/>
      <c r="S67" s="27"/>
      <c r="T67" s="26" t="str">
        <f aca="false">IF($K67="","",IF($K67&gt;=0.25,"WIN",IF($K67&gt;=0.2,"OK","FAIL")))</f>
        <v/>
      </c>
      <c r="U67" s="26" t="str">
        <f aca="false">IF($K67="","",IF($K67&lt;0.2,"REPOST WITH HOOK B",IF($K67&gt;=0.25,"Bank hook in PLAYBOOK","Hold - watch next run")))</f>
        <v/>
      </c>
      <c r="V67" s="27"/>
    </row>
    <row r="68" customFormat="false" ht="15" hidden="false" customHeight="true" outlineLevel="0" collapsed="false">
      <c r="A68" s="25"/>
      <c r="B68" s="26" t="str">
        <f aca="false">IF($A68="","",TEXT($A68,"ddd"))</f>
        <v/>
      </c>
      <c r="C68" s="27"/>
      <c r="D68" s="27"/>
      <c r="E68" s="27"/>
      <c r="F68" s="27"/>
      <c r="G68" s="27"/>
      <c r="H68" s="27"/>
      <c r="I68" s="27"/>
      <c r="J68" s="27"/>
      <c r="K68" s="28" t="str">
        <f aca="false">IF(OR($I68="",$J68=""),"",IFERROR($J68/$I68,""))</f>
        <v/>
      </c>
      <c r="L68" s="27"/>
      <c r="M68" s="27"/>
      <c r="N68" s="28" t="str">
        <f aca="false">IF(OR($L68="",$M68=""),"",IFERROR($L68/$M68,""))</f>
        <v/>
      </c>
      <c r="O68" s="27"/>
      <c r="P68" s="27"/>
      <c r="Q68" s="27"/>
      <c r="R68" s="27"/>
      <c r="S68" s="27"/>
      <c r="T68" s="26" t="str">
        <f aca="false">IF($K68="","",IF($K68&gt;=0.25,"WIN",IF($K68&gt;=0.2,"OK","FAIL")))</f>
        <v/>
      </c>
      <c r="U68" s="26" t="str">
        <f aca="false">IF($K68="","",IF($K68&lt;0.2,"REPOST WITH HOOK B",IF($K68&gt;=0.25,"Bank hook in PLAYBOOK","Hold - watch next run")))</f>
        <v/>
      </c>
      <c r="V68" s="27"/>
    </row>
    <row r="69" customFormat="false" ht="15" hidden="false" customHeight="true" outlineLevel="0" collapsed="false">
      <c r="A69" s="25"/>
      <c r="B69" s="26" t="str">
        <f aca="false">IF($A69="","",TEXT($A69,"ddd"))</f>
        <v/>
      </c>
      <c r="C69" s="27"/>
      <c r="D69" s="27"/>
      <c r="E69" s="27"/>
      <c r="F69" s="27"/>
      <c r="G69" s="27"/>
      <c r="H69" s="27"/>
      <c r="I69" s="27"/>
      <c r="J69" s="27"/>
      <c r="K69" s="28" t="str">
        <f aca="false">IF(OR($I69="",$J69=""),"",IFERROR($J69/$I69,""))</f>
        <v/>
      </c>
      <c r="L69" s="27"/>
      <c r="M69" s="27"/>
      <c r="N69" s="28" t="str">
        <f aca="false">IF(OR($L69="",$M69=""),"",IFERROR($L69/$M69,""))</f>
        <v/>
      </c>
      <c r="O69" s="27"/>
      <c r="P69" s="27"/>
      <c r="Q69" s="27"/>
      <c r="R69" s="27"/>
      <c r="S69" s="27"/>
      <c r="T69" s="26" t="str">
        <f aca="false">IF($K69="","",IF($K69&gt;=0.25,"WIN",IF($K69&gt;=0.2,"OK","FAIL")))</f>
        <v/>
      </c>
      <c r="U69" s="26" t="str">
        <f aca="false">IF($K69="","",IF($K69&lt;0.2,"REPOST WITH HOOK B",IF($K69&gt;=0.25,"Bank hook in PLAYBOOK","Hold - watch next run")))</f>
        <v/>
      </c>
      <c r="V69" s="27"/>
    </row>
    <row r="70" customFormat="false" ht="15" hidden="false" customHeight="true" outlineLevel="0" collapsed="false">
      <c r="A70" s="25"/>
      <c r="B70" s="26" t="str">
        <f aca="false">IF($A70="","",TEXT($A70,"ddd"))</f>
        <v/>
      </c>
      <c r="C70" s="27"/>
      <c r="D70" s="27"/>
      <c r="E70" s="27"/>
      <c r="F70" s="27"/>
      <c r="G70" s="27"/>
      <c r="H70" s="27"/>
      <c r="I70" s="27"/>
      <c r="J70" s="27"/>
      <c r="K70" s="28" t="str">
        <f aca="false">IF(OR($I70="",$J70=""),"",IFERROR($J70/$I70,""))</f>
        <v/>
      </c>
      <c r="L70" s="27"/>
      <c r="M70" s="27"/>
      <c r="N70" s="28" t="str">
        <f aca="false">IF(OR($L70="",$M70=""),"",IFERROR($L70/$M70,""))</f>
        <v/>
      </c>
      <c r="O70" s="27"/>
      <c r="P70" s="27"/>
      <c r="Q70" s="27"/>
      <c r="R70" s="27"/>
      <c r="S70" s="27"/>
      <c r="T70" s="26" t="str">
        <f aca="false">IF($K70="","",IF($K70&gt;=0.25,"WIN",IF($K70&gt;=0.2,"OK","FAIL")))</f>
        <v/>
      </c>
      <c r="U70" s="26" t="str">
        <f aca="false">IF($K70="","",IF($K70&lt;0.2,"REPOST WITH HOOK B",IF($K70&gt;=0.25,"Bank hook in PLAYBOOK","Hold - watch next run")))</f>
        <v/>
      </c>
      <c r="V70" s="27"/>
    </row>
    <row r="71" customFormat="false" ht="15" hidden="false" customHeight="true" outlineLevel="0" collapsed="false">
      <c r="A71" s="25"/>
      <c r="B71" s="26" t="str">
        <f aca="false">IF($A71="","",TEXT($A71,"ddd"))</f>
        <v/>
      </c>
      <c r="C71" s="27"/>
      <c r="D71" s="27"/>
      <c r="E71" s="27"/>
      <c r="F71" s="27"/>
      <c r="G71" s="27"/>
      <c r="H71" s="27"/>
      <c r="I71" s="27"/>
      <c r="J71" s="27"/>
      <c r="K71" s="28" t="str">
        <f aca="false">IF(OR($I71="",$J71=""),"",IFERROR($J71/$I71,""))</f>
        <v/>
      </c>
      <c r="L71" s="27"/>
      <c r="M71" s="27"/>
      <c r="N71" s="28" t="str">
        <f aca="false">IF(OR($L71="",$M71=""),"",IFERROR($L71/$M71,""))</f>
        <v/>
      </c>
      <c r="O71" s="27"/>
      <c r="P71" s="27"/>
      <c r="Q71" s="27"/>
      <c r="R71" s="27"/>
      <c r="S71" s="27"/>
      <c r="T71" s="26" t="str">
        <f aca="false">IF($K71="","",IF($K71&gt;=0.25,"WIN",IF($K71&gt;=0.2,"OK","FAIL")))</f>
        <v/>
      </c>
      <c r="U71" s="26" t="str">
        <f aca="false">IF($K71="","",IF($K71&lt;0.2,"REPOST WITH HOOK B",IF($K71&gt;=0.25,"Bank hook in PLAYBOOK","Hold - watch next run")))</f>
        <v/>
      </c>
      <c r="V71" s="27"/>
    </row>
    <row r="72" customFormat="false" ht="15" hidden="false" customHeight="true" outlineLevel="0" collapsed="false">
      <c r="A72" s="25"/>
      <c r="B72" s="26" t="str">
        <f aca="false">IF($A72="","",TEXT($A72,"ddd"))</f>
        <v/>
      </c>
      <c r="C72" s="27"/>
      <c r="D72" s="27"/>
      <c r="E72" s="27"/>
      <c r="F72" s="27"/>
      <c r="G72" s="27"/>
      <c r="H72" s="27"/>
      <c r="I72" s="27"/>
      <c r="J72" s="27"/>
      <c r="K72" s="28" t="str">
        <f aca="false">IF(OR($I72="",$J72=""),"",IFERROR($J72/$I72,""))</f>
        <v/>
      </c>
      <c r="L72" s="27"/>
      <c r="M72" s="27"/>
      <c r="N72" s="28" t="str">
        <f aca="false">IF(OR($L72="",$M72=""),"",IFERROR($L72/$M72,""))</f>
        <v/>
      </c>
      <c r="O72" s="27"/>
      <c r="P72" s="27"/>
      <c r="Q72" s="27"/>
      <c r="R72" s="27"/>
      <c r="S72" s="27"/>
      <c r="T72" s="26" t="str">
        <f aca="false">IF($K72="","",IF($K72&gt;=0.25,"WIN",IF($K72&gt;=0.2,"OK","FAIL")))</f>
        <v/>
      </c>
      <c r="U72" s="26" t="str">
        <f aca="false">IF($K72="","",IF($K72&lt;0.2,"REPOST WITH HOOK B",IF($K72&gt;=0.25,"Bank hook in PLAYBOOK","Hold - watch next run")))</f>
        <v/>
      </c>
      <c r="V72" s="27"/>
    </row>
    <row r="73" customFormat="false" ht="15" hidden="false" customHeight="true" outlineLevel="0" collapsed="false">
      <c r="A73" s="25"/>
      <c r="B73" s="26" t="str">
        <f aca="false">IF($A73="","",TEXT($A73,"ddd"))</f>
        <v/>
      </c>
      <c r="C73" s="27"/>
      <c r="D73" s="27"/>
      <c r="E73" s="27"/>
      <c r="F73" s="27"/>
      <c r="G73" s="27"/>
      <c r="H73" s="27"/>
      <c r="I73" s="27"/>
      <c r="J73" s="27"/>
      <c r="K73" s="28" t="str">
        <f aca="false">IF(OR($I73="",$J73=""),"",IFERROR($J73/$I73,""))</f>
        <v/>
      </c>
      <c r="L73" s="27"/>
      <c r="M73" s="27"/>
      <c r="N73" s="28" t="str">
        <f aca="false">IF(OR($L73="",$M73=""),"",IFERROR($L73/$M73,""))</f>
        <v/>
      </c>
      <c r="O73" s="27"/>
      <c r="P73" s="27"/>
      <c r="Q73" s="27"/>
      <c r="R73" s="27"/>
      <c r="S73" s="27"/>
      <c r="T73" s="26" t="str">
        <f aca="false">IF($K73="","",IF($K73&gt;=0.25,"WIN",IF($K73&gt;=0.2,"OK","FAIL")))</f>
        <v/>
      </c>
      <c r="U73" s="26" t="str">
        <f aca="false">IF($K73="","",IF($K73&lt;0.2,"REPOST WITH HOOK B",IF($K73&gt;=0.25,"Bank hook in PLAYBOOK","Hold - watch next run")))</f>
        <v/>
      </c>
      <c r="V73" s="27"/>
    </row>
    <row r="74" customFormat="false" ht="15" hidden="false" customHeight="true" outlineLevel="0" collapsed="false">
      <c r="A74" s="25"/>
      <c r="B74" s="26" t="str">
        <f aca="false">IF($A74="","",TEXT($A74,"ddd"))</f>
        <v/>
      </c>
      <c r="C74" s="27"/>
      <c r="D74" s="27"/>
      <c r="E74" s="27"/>
      <c r="F74" s="27"/>
      <c r="G74" s="27"/>
      <c r="H74" s="27"/>
      <c r="I74" s="27"/>
      <c r="J74" s="27"/>
      <c r="K74" s="28" t="str">
        <f aca="false">IF(OR($I74="",$J74=""),"",IFERROR($J74/$I74,""))</f>
        <v/>
      </c>
      <c r="L74" s="27"/>
      <c r="M74" s="27"/>
      <c r="N74" s="28" t="str">
        <f aca="false">IF(OR($L74="",$M74=""),"",IFERROR($L74/$M74,""))</f>
        <v/>
      </c>
      <c r="O74" s="27"/>
      <c r="P74" s="27"/>
      <c r="Q74" s="27"/>
      <c r="R74" s="27"/>
      <c r="S74" s="27"/>
      <c r="T74" s="26" t="str">
        <f aca="false">IF($K74="","",IF($K74&gt;=0.25,"WIN",IF($K74&gt;=0.2,"OK","FAIL")))</f>
        <v/>
      </c>
      <c r="U74" s="26" t="str">
        <f aca="false">IF($K74="","",IF($K74&lt;0.2,"REPOST WITH HOOK B",IF($K74&gt;=0.25,"Bank hook in PLAYBOOK","Hold - watch next run")))</f>
        <v/>
      </c>
      <c r="V74" s="27"/>
    </row>
    <row r="75" customFormat="false" ht="15" hidden="false" customHeight="true" outlineLevel="0" collapsed="false">
      <c r="A75" s="25"/>
      <c r="B75" s="26" t="str">
        <f aca="false">IF($A75="","",TEXT($A75,"ddd"))</f>
        <v/>
      </c>
      <c r="C75" s="27"/>
      <c r="D75" s="27"/>
      <c r="E75" s="27"/>
      <c r="F75" s="27"/>
      <c r="G75" s="27"/>
      <c r="H75" s="27"/>
      <c r="I75" s="27"/>
      <c r="J75" s="27"/>
      <c r="K75" s="28" t="str">
        <f aca="false">IF(OR($I75="",$J75=""),"",IFERROR($J75/$I75,""))</f>
        <v/>
      </c>
      <c r="L75" s="27"/>
      <c r="M75" s="27"/>
      <c r="N75" s="28" t="str">
        <f aca="false">IF(OR($L75="",$M75=""),"",IFERROR($L75/$M75,""))</f>
        <v/>
      </c>
      <c r="O75" s="27"/>
      <c r="P75" s="27"/>
      <c r="Q75" s="27"/>
      <c r="R75" s="27"/>
      <c r="S75" s="27"/>
      <c r="T75" s="26" t="str">
        <f aca="false">IF($K75="","",IF($K75&gt;=0.25,"WIN",IF($K75&gt;=0.2,"OK","FAIL")))</f>
        <v/>
      </c>
      <c r="U75" s="26" t="str">
        <f aca="false">IF($K75="","",IF($K75&lt;0.2,"REPOST WITH HOOK B",IF($K75&gt;=0.25,"Bank hook in PLAYBOOK","Hold - watch next run")))</f>
        <v/>
      </c>
      <c r="V75" s="27"/>
    </row>
    <row r="76" customFormat="false" ht="15" hidden="false" customHeight="true" outlineLevel="0" collapsed="false">
      <c r="A76" s="25"/>
      <c r="B76" s="26" t="str">
        <f aca="false">IF($A76="","",TEXT($A76,"ddd"))</f>
        <v/>
      </c>
      <c r="C76" s="27"/>
      <c r="D76" s="27"/>
      <c r="E76" s="27"/>
      <c r="F76" s="27"/>
      <c r="G76" s="27"/>
      <c r="H76" s="27"/>
      <c r="I76" s="27"/>
      <c r="J76" s="27"/>
      <c r="K76" s="28" t="str">
        <f aca="false">IF(OR($I76="",$J76=""),"",IFERROR($J76/$I76,""))</f>
        <v/>
      </c>
      <c r="L76" s="27"/>
      <c r="M76" s="27"/>
      <c r="N76" s="28" t="str">
        <f aca="false">IF(OR($L76="",$M76=""),"",IFERROR($L76/$M76,""))</f>
        <v/>
      </c>
      <c r="O76" s="27"/>
      <c r="P76" s="27"/>
      <c r="Q76" s="27"/>
      <c r="R76" s="27"/>
      <c r="S76" s="27"/>
      <c r="T76" s="26" t="str">
        <f aca="false">IF($K76="","",IF($K76&gt;=0.25,"WIN",IF($K76&gt;=0.2,"OK","FAIL")))</f>
        <v/>
      </c>
      <c r="U76" s="26" t="str">
        <f aca="false">IF($K76="","",IF($K76&lt;0.2,"REPOST WITH HOOK B",IF($K76&gt;=0.25,"Bank hook in PLAYBOOK","Hold - watch next run")))</f>
        <v/>
      </c>
      <c r="V76" s="27"/>
    </row>
    <row r="77" customFormat="false" ht="15" hidden="false" customHeight="true" outlineLevel="0" collapsed="false">
      <c r="A77" s="25"/>
      <c r="B77" s="26" t="str">
        <f aca="false">IF($A77="","",TEXT($A77,"ddd"))</f>
        <v/>
      </c>
      <c r="C77" s="27"/>
      <c r="D77" s="27"/>
      <c r="E77" s="27"/>
      <c r="F77" s="27"/>
      <c r="G77" s="27"/>
      <c r="H77" s="27"/>
      <c r="I77" s="27"/>
      <c r="J77" s="27"/>
      <c r="K77" s="28" t="str">
        <f aca="false">IF(OR($I77="",$J77=""),"",IFERROR($J77/$I77,""))</f>
        <v/>
      </c>
      <c r="L77" s="27"/>
      <c r="M77" s="27"/>
      <c r="N77" s="28" t="str">
        <f aca="false">IF(OR($L77="",$M77=""),"",IFERROR($L77/$M77,""))</f>
        <v/>
      </c>
      <c r="O77" s="27"/>
      <c r="P77" s="27"/>
      <c r="Q77" s="27"/>
      <c r="R77" s="27"/>
      <c r="S77" s="27"/>
      <c r="T77" s="26" t="str">
        <f aca="false">IF($K77="","",IF($K77&gt;=0.25,"WIN",IF($K77&gt;=0.2,"OK","FAIL")))</f>
        <v/>
      </c>
      <c r="U77" s="26" t="str">
        <f aca="false">IF($K77="","",IF($K77&lt;0.2,"REPOST WITH HOOK B",IF($K77&gt;=0.25,"Bank hook in PLAYBOOK","Hold - watch next run")))</f>
        <v/>
      </c>
      <c r="V77" s="27"/>
    </row>
    <row r="78" customFormat="false" ht="15" hidden="false" customHeight="true" outlineLevel="0" collapsed="false">
      <c r="A78" s="25"/>
      <c r="B78" s="26" t="str">
        <f aca="false">IF($A78="","",TEXT($A78,"ddd"))</f>
        <v/>
      </c>
      <c r="C78" s="27"/>
      <c r="D78" s="27"/>
      <c r="E78" s="27"/>
      <c r="F78" s="27"/>
      <c r="G78" s="27"/>
      <c r="H78" s="27"/>
      <c r="I78" s="27"/>
      <c r="J78" s="27"/>
      <c r="K78" s="28" t="str">
        <f aca="false">IF(OR($I78="",$J78=""),"",IFERROR($J78/$I78,""))</f>
        <v/>
      </c>
      <c r="L78" s="27"/>
      <c r="M78" s="27"/>
      <c r="N78" s="28" t="str">
        <f aca="false">IF(OR($L78="",$M78=""),"",IFERROR($L78/$M78,""))</f>
        <v/>
      </c>
      <c r="O78" s="27"/>
      <c r="P78" s="27"/>
      <c r="Q78" s="27"/>
      <c r="R78" s="27"/>
      <c r="S78" s="27"/>
      <c r="T78" s="26" t="str">
        <f aca="false">IF($K78="","",IF($K78&gt;=0.25,"WIN",IF($K78&gt;=0.2,"OK","FAIL")))</f>
        <v/>
      </c>
      <c r="U78" s="26" t="str">
        <f aca="false">IF($K78="","",IF($K78&lt;0.2,"REPOST WITH HOOK B",IF($K78&gt;=0.25,"Bank hook in PLAYBOOK","Hold - watch next run")))</f>
        <v/>
      </c>
      <c r="V78" s="27"/>
    </row>
    <row r="79" customFormat="false" ht="15" hidden="false" customHeight="true" outlineLevel="0" collapsed="false">
      <c r="A79" s="25"/>
      <c r="B79" s="26" t="str">
        <f aca="false">IF($A79="","",TEXT($A79,"ddd"))</f>
        <v/>
      </c>
      <c r="C79" s="27"/>
      <c r="D79" s="27"/>
      <c r="E79" s="27"/>
      <c r="F79" s="27"/>
      <c r="G79" s="27"/>
      <c r="H79" s="27"/>
      <c r="I79" s="27"/>
      <c r="J79" s="27"/>
      <c r="K79" s="28" t="str">
        <f aca="false">IF(OR($I79="",$J79=""),"",IFERROR($J79/$I79,""))</f>
        <v/>
      </c>
      <c r="L79" s="27"/>
      <c r="M79" s="27"/>
      <c r="N79" s="28" t="str">
        <f aca="false">IF(OR($L79="",$M79=""),"",IFERROR($L79/$M79,""))</f>
        <v/>
      </c>
      <c r="O79" s="27"/>
      <c r="P79" s="27"/>
      <c r="Q79" s="27"/>
      <c r="R79" s="27"/>
      <c r="S79" s="27"/>
      <c r="T79" s="26" t="str">
        <f aca="false">IF($K79="","",IF($K79&gt;=0.25,"WIN",IF($K79&gt;=0.2,"OK","FAIL")))</f>
        <v/>
      </c>
      <c r="U79" s="26" t="str">
        <f aca="false">IF($K79="","",IF($K79&lt;0.2,"REPOST WITH HOOK B",IF($K79&gt;=0.25,"Bank hook in PLAYBOOK","Hold - watch next run")))</f>
        <v/>
      </c>
      <c r="V79" s="27"/>
    </row>
    <row r="80" customFormat="false" ht="15" hidden="false" customHeight="true" outlineLevel="0" collapsed="false">
      <c r="A80" s="25"/>
      <c r="B80" s="26" t="str">
        <f aca="false">IF($A80="","",TEXT($A80,"ddd"))</f>
        <v/>
      </c>
      <c r="C80" s="27"/>
      <c r="D80" s="27"/>
      <c r="E80" s="27"/>
      <c r="F80" s="27"/>
      <c r="G80" s="27"/>
      <c r="H80" s="27"/>
      <c r="I80" s="27"/>
      <c r="J80" s="27"/>
      <c r="K80" s="28" t="str">
        <f aca="false">IF(OR($I80="",$J80=""),"",IFERROR($J80/$I80,""))</f>
        <v/>
      </c>
      <c r="L80" s="27"/>
      <c r="M80" s="27"/>
      <c r="N80" s="28" t="str">
        <f aca="false">IF(OR($L80="",$M80=""),"",IFERROR($L80/$M80,""))</f>
        <v/>
      </c>
      <c r="O80" s="27"/>
      <c r="P80" s="27"/>
      <c r="Q80" s="27"/>
      <c r="R80" s="27"/>
      <c r="S80" s="27"/>
      <c r="T80" s="26" t="str">
        <f aca="false">IF($K80="","",IF($K80&gt;=0.25,"WIN",IF($K80&gt;=0.2,"OK","FAIL")))</f>
        <v/>
      </c>
      <c r="U80" s="26" t="str">
        <f aca="false">IF($K80="","",IF($K80&lt;0.2,"REPOST WITH HOOK B",IF($K80&gt;=0.25,"Bank hook in PLAYBOOK","Hold - watch next run")))</f>
        <v/>
      </c>
      <c r="V80" s="27"/>
    </row>
    <row r="81" customFormat="false" ht="15" hidden="false" customHeight="true" outlineLevel="0" collapsed="false">
      <c r="A81" s="25"/>
      <c r="B81" s="26" t="str">
        <f aca="false">IF($A81="","",TEXT($A81,"ddd"))</f>
        <v/>
      </c>
      <c r="C81" s="27"/>
      <c r="D81" s="27"/>
      <c r="E81" s="27"/>
      <c r="F81" s="27"/>
      <c r="G81" s="27"/>
      <c r="H81" s="27"/>
      <c r="I81" s="27"/>
      <c r="J81" s="27"/>
      <c r="K81" s="28" t="str">
        <f aca="false">IF(OR($I81="",$J81=""),"",IFERROR($J81/$I81,""))</f>
        <v/>
      </c>
      <c r="L81" s="27"/>
      <c r="M81" s="27"/>
      <c r="N81" s="28" t="str">
        <f aca="false">IF(OR($L81="",$M81=""),"",IFERROR($L81/$M81,""))</f>
        <v/>
      </c>
      <c r="O81" s="27"/>
      <c r="P81" s="27"/>
      <c r="Q81" s="27"/>
      <c r="R81" s="27"/>
      <c r="S81" s="27"/>
      <c r="T81" s="26" t="str">
        <f aca="false">IF($K81="","",IF($K81&gt;=0.25,"WIN",IF($K81&gt;=0.2,"OK","FAIL")))</f>
        <v/>
      </c>
      <c r="U81" s="26" t="str">
        <f aca="false">IF($K81="","",IF($K81&lt;0.2,"REPOST WITH HOOK B",IF($K81&gt;=0.25,"Bank hook in PLAYBOOK","Hold - watch next run")))</f>
        <v/>
      </c>
      <c r="V81" s="27"/>
    </row>
    <row r="82" customFormat="false" ht="15" hidden="false" customHeight="true" outlineLevel="0" collapsed="false">
      <c r="A82" s="25"/>
      <c r="B82" s="26" t="str">
        <f aca="false">IF($A82="","",TEXT($A82,"ddd"))</f>
        <v/>
      </c>
      <c r="C82" s="27"/>
      <c r="D82" s="27"/>
      <c r="E82" s="27"/>
      <c r="F82" s="27"/>
      <c r="G82" s="27"/>
      <c r="H82" s="27"/>
      <c r="I82" s="27"/>
      <c r="J82" s="27"/>
      <c r="K82" s="28" t="str">
        <f aca="false">IF(OR($I82="",$J82=""),"",IFERROR($J82/$I82,""))</f>
        <v/>
      </c>
      <c r="L82" s="27"/>
      <c r="M82" s="27"/>
      <c r="N82" s="28" t="str">
        <f aca="false">IF(OR($L82="",$M82=""),"",IFERROR($L82/$M82,""))</f>
        <v/>
      </c>
      <c r="O82" s="27"/>
      <c r="P82" s="27"/>
      <c r="Q82" s="27"/>
      <c r="R82" s="27"/>
      <c r="S82" s="27"/>
      <c r="T82" s="26" t="str">
        <f aca="false">IF($K82="","",IF($K82&gt;=0.25,"WIN",IF($K82&gt;=0.2,"OK","FAIL")))</f>
        <v/>
      </c>
      <c r="U82" s="26" t="str">
        <f aca="false">IF($K82="","",IF($K82&lt;0.2,"REPOST WITH HOOK B",IF($K82&gt;=0.25,"Bank hook in PLAYBOOK","Hold - watch next run")))</f>
        <v/>
      </c>
      <c r="V82" s="27"/>
    </row>
    <row r="83" customFormat="false" ht="15" hidden="false" customHeight="true" outlineLevel="0" collapsed="false">
      <c r="A83" s="25"/>
      <c r="B83" s="26" t="str">
        <f aca="false">IF($A83="","",TEXT($A83,"ddd"))</f>
        <v/>
      </c>
      <c r="C83" s="27"/>
      <c r="D83" s="27"/>
      <c r="E83" s="27"/>
      <c r="F83" s="27"/>
      <c r="G83" s="27"/>
      <c r="H83" s="27"/>
      <c r="I83" s="27"/>
      <c r="J83" s="27"/>
      <c r="K83" s="28" t="str">
        <f aca="false">IF(OR($I83="",$J83=""),"",IFERROR($J83/$I83,""))</f>
        <v/>
      </c>
      <c r="L83" s="27"/>
      <c r="M83" s="27"/>
      <c r="N83" s="28" t="str">
        <f aca="false">IF(OR($L83="",$M83=""),"",IFERROR($L83/$M83,""))</f>
        <v/>
      </c>
      <c r="O83" s="27"/>
      <c r="P83" s="27"/>
      <c r="Q83" s="27"/>
      <c r="R83" s="27"/>
      <c r="S83" s="27"/>
      <c r="T83" s="26" t="str">
        <f aca="false">IF($K83="","",IF($K83&gt;=0.25,"WIN",IF($K83&gt;=0.2,"OK","FAIL")))</f>
        <v/>
      </c>
      <c r="U83" s="26" t="str">
        <f aca="false">IF($K83="","",IF($K83&lt;0.2,"REPOST WITH HOOK B",IF($K83&gt;=0.25,"Bank hook in PLAYBOOK","Hold - watch next run")))</f>
        <v/>
      </c>
      <c r="V83" s="27"/>
    </row>
    <row r="84" customFormat="false" ht="15" hidden="false" customHeight="true" outlineLevel="0" collapsed="false">
      <c r="A84" s="25"/>
      <c r="B84" s="26" t="str">
        <f aca="false">IF($A84="","",TEXT($A84,"ddd"))</f>
        <v/>
      </c>
      <c r="C84" s="27"/>
      <c r="D84" s="27"/>
      <c r="E84" s="27"/>
      <c r="F84" s="27"/>
      <c r="G84" s="27"/>
      <c r="H84" s="27"/>
      <c r="I84" s="27"/>
      <c r="J84" s="27"/>
      <c r="K84" s="28" t="str">
        <f aca="false">IF(OR($I84="",$J84=""),"",IFERROR($J84/$I84,""))</f>
        <v/>
      </c>
      <c r="L84" s="27"/>
      <c r="M84" s="27"/>
      <c r="N84" s="28" t="str">
        <f aca="false">IF(OR($L84="",$M84=""),"",IFERROR($L84/$M84,""))</f>
        <v/>
      </c>
      <c r="O84" s="27"/>
      <c r="P84" s="27"/>
      <c r="Q84" s="27"/>
      <c r="R84" s="27"/>
      <c r="S84" s="27"/>
      <c r="T84" s="26" t="str">
        <f aca="false">IF($K84="","",IF($K84&gt;=0.25,"WIN",IF($K84&gt;=0.2,"OK","FAIL")))</f>
        <v/>
      </c>
      <c r="U84" s="26" t="str">
        <f aca="false">IF($K84="","",IF($K84&lt;0.2,"REPOST WITH HOOK B",IF($K84&gt;=0.25,"Bank hook in PLAYBOOK","Hold - watch next run")))</f>
        <v/>
      </c>
      <c r="V84" s="27"/>
    </row>
    <row r="85" customFormat="false" ht="15" hidden="false" customHeight="true" outlineLevel="0" collapsed="false">
      <c r="A85" s="25"/>
      <c r="B85" s="26" t="str">
        <f aca="false">IF($A85="","",TEXT($A85,"ddd"))</f>
        <v/>
      </c>
      <c r="C85" s="27"/>
      <c r="D85" s="27"/>
      <c r="E85" s="27"/>
      <c r="F85" s="27"/>
      <c r="G85" s="27"/>
      <c r="H85" s="27"/>
      <c r="I85" s="27"/>
      <c r="J85" s="27"/>
      <c r="K85" s="28" t="str">
        <f aca="false">IF(OR($I85="",$J85=""),"",IFERROR($J85/$I85,""))</f>
        <v/>
      </c>
      <c r="L85" s="27"/>
      <c r="M85" s="27"/>
      <c r="N85" s="28" t="str">
        <f aca="false">IF(OR($L85="",$M85=""),"",IFERROR($L85/$M85,""))</f>
        <v/>
      </c>
      <c r="O85" s="27"/>
      <c r="P85" s="27"/>
      <c r="Q85" s="27"/>
      <c r="R85" s="27"/>
      <c r="S85" s="27"/>
      <c r="T85" s="26" t="str">
        <f aca="false">IF($K85="","",IF($K85&gt;=0.25,"WIN",IF($K85&gt;=0.2,"OK","FAIL")))</f>
        <v/>
      </c>
      <c r="U85" s="26" t="str">
        <f aca="false">IF($K85="","",IF($K85&lt;0.2,"REPOST WITH HOOK B",IF($K85&gt;=0.25,"Bank hook in PLAYBOOK","Hold - watch next run")))</f>
        <v/>
      </c>
      <c r="V85" s="27"/>
    </row>
    <row r="86" customFormat="false" ht="15" hidden="false" customHeight="true" outlineLevel="0" collapsed="false">
      <c r="A86" s="25"/>
      <c r="B86" s="26" t="str">
        <f aca="false">IF($A86="","",TEXT($A86,"ddd"))</f>
        <v/>
      </c>
      <c r="C86" s="27"/>
      <c r="D86" s="27"/>
      <c r="E86" s="27"/>
      <c r="F86" s="27"/>
      <c r="G86" s="27"/>
      <c r="H86" s="27"/>
      <c r="I86" s="27"/>
      <c r="J86" s="27"/>
      <c r="K86" s="28" t="str">
        <f aca="false">IF(OR($I86="",$J86=""),"",IFERROR($J86/$I86,""))</f>
        <v/>
      </c>
      <c r="L86" s="27"/>
      <c r="M86" s="27"/>
      <c r="N86" s="28" t="str">
        <f aca="false">IF(OR($L86="",$M86=""),"",IFERROR($L86/$M86,""))</f>
        <v/>
      </c>
      <c r="O86" s="27"/>
      <c r="P86" s="27"/>
      <c r="Q86" s="27"/>
      <c r="R86" s="27"/>
      <c r="S86" s="27"/>
      <c r="T86" s="26" t="str">
        <f aca="false">IF($K86="","",IF($K86&gt;=0.25,"WIN",IF($K86&gt;=0.2,"OK","FAIL")))</f>
        <v/>
      </c>
      <c r="U86" s="26" t="str">
        <f aca="false">IF($K86="","",IF($K86&lt;0.2,"REPOST WITH HOOK B",IF($K86&gt;=0.25,"Bank hook in PLAYBOOK","Hold - watch next run")))</f>
        <v/>
      </c>
      <c r="V86" s="27"/>
    </row>
    <row r="87" customFormat="false" ht="15" hidden="false" customHeight="true" outlineLevel="0" collapsed="false">
      <c r="A87" s="25"/>
      <c r="B87" s="26" t="str">
        <f aca="false">IF($A87="","",TEXT($A87,"ddd"))</f>
        <v/>
      </c>
      <c r="C87" s="27"/>
      <c r="D87" s="27"/>
      <c r="E87" s="27"/>
      <c r="F87" s="27"/>
      <c r="G87" s="27"/>
      <c r="H87" s="27"/>
      <c r="I87" s="27"/>
      <c r="J87" s="27"/>
      <c r="K87" s="28" t="str">
        <f aca="false">IF(OR($I87="",$J87=""),"",IFERROR($J87/$I87,""))</f>
        <v/>
      </c>
      <c r="L87" s="27"/>
      <c r="M87" s="27"/>
      <c r="N87" s="28" t="str">
        <f aca="false">IF(OR($L87="",$M87=""),"",IFERROR($L87/$M87,""))</f>
        <v/>
      </c>
      <c r="O87" s="27"/>
      <c r="P87" s="27"/>
      <c r="Q87" s="27"/>
      <c r="R87" s="27"/>
      <c r="S87" s="27"/>
      <c r="T87" s="26" t="str">
        <f aca="false">IF($K87="","",IF($K87&gt;=0.25,"WIN",IF($K87&gt;=0.2,"OK","FAIL")))</f>
        <v/>
      </c>
      <c r="U87" s="26" t="str">
        <f aca="false">IF($K87="","",IF($K87&lt;0.2,"REPOST WITH HOOK B",IF($K87&gt;=0.25,"Bank hook in PLAYBOOK","Hold - watch next run")))</f>
        <v/>
      </c>
      <c r="V87" s="27"/>
    </row>
    <row r="88" customFormat="false" ht="15" hidden="false" customHeight="true" outlineLevel="0" collapsed="false">
      <c r="A88" s="25"/>
      <c r="B88" s="26" t="str">
        <f aca="false">IF($A88="","",TEXT($A88,"ddd"))</f>
        <v/>
      </c>
      <c r="C88" s="27"/>
      <c r="D88" s="27"/>
      <c r="E88" s="27"/>
      <c r="F88" s="27"/>
      <c r="G88" s="27"/>
      <c r="H88" s="27"/>
      <c r="I88" s="27"/>
      <c r="J88" s="27"/>
      <c r="K88" s="28" t="str">
        <f aca="false">IF(OR($I88="",$J88=""),"",IFERROR($J88/$I88,""))</f>
        <v/>
      </c>
      <c r="L88" s="27"/>
      <c r="M88" s="27"/>
      <c r="N88" s="28" t="str">
        <f aca="false">IF(OR($L88="",$M88=""),"",IFERROR($L88/$M88,""))</f>
        <v/>
      </c>
      <c r="O88" s="27"/>
      <c r="P88" s="27"/>
      <c r="Q88" s="27"/>
      <c r="R88" s="27"/>
      <c r="S88" s="27"/>
      <c r="T88" s="26" t="str">
        <f aca="false">IF($K88="","",IF($K88&gt;=0.25,"WIN",IF($K88&gt;=0.2,"OK","FAIL")))</f>
        <v/>
      </c>
      <c r="U88" s="26" t="str">
        <f aca="false">IF($K88="","",IF($K88&lt;0.2,"REPOST WITH HOOK B",IF($K88&gt;=0.25,"Bank hook in PLAYBOOK","Hold - watch next run")))</f>
        <v/>
      </c>
      <c r="V88" s="27"/>
    </row>
    <row r="89" customFormat="false" ht="15" hidden="false" customHeight="true" outlineLevel="0" collapsed="false">
      <c r="A89" s="25"/>
      <c r="B89" s="26" t="str">
        <f aca="false">IF($A89="","",TEXT($A89,"ddd"))</f>
        <v/>
      </c>
      <c r="C89" s="27"/>
      <c r="D89" s="27"/>
      <c r="E89" s="27"/>
      <c r="F89" s="27"/>
      <c r="G89" s="27"/>
      <c r="H89" s="27"/>
      <c r="I89" s="27"/>
      <c r="J89" s="27"/>
      <c r="K89" s="28" t="str">
        <f aca="false">IF(OR($I89="",$J89=""),"",IFERROR($J89/$I89,""))</f>
        <v/>
      </c>
      <c r="L89" s="27"/>
      <c r="M89" s="27"/>
      <c r="N89" s="28" t="str">
        <f aca="false">IF(OR($L89="",$M89=""),"",IFERROR($L89/$M89,""))</f>
        <v/>
      </c>
      <c r="O89" s="27"/>
      <c r="P89" s="27"/>
      <c r="Q89" s="27"/>
      <c r="R89" s="27"/>
      <c r="S89" s="27"/>
      <c r="T89" s="26" t="str">
        <f aca="false">IF($K89="","",IF($K89&gt;=0.25,"WIN",IF($K89&gt;=0.2,"OK","FAIL")))</f>
        <v/>
      </c>
      <c r="U89" s="26" t="str">
        <f aca="false">IF($K89="","",IF($K89&lt;0.2,"REPOST WITH HOOK B",IF($K89&gt;=0.25,"Bank hook in PLAYBOOK","Hold - watch next run")))</f>
        <v/>
      </c>
      <c r="V89" s="27"/>
    </row>
    <row r="90" customFormat="false" ht="15" hidden="false" customHeight="true" outlineLevel="0" collapsed="false">
      <c r="A90" s="25"/>
      <c r="B90" s="26" t="str">
        <f aca="false">IF($A90="","",TEXT($A90,"ddd"))</f>
        <v/>
      </c>
      <c r="C90" s="27"/>
      <c r="D90" s="27"/>
      <c r="E90" s="27"/>
      <c r="F90" s="27"/>
      <c r="G90" s="27"/>
      <c r="H90" s="27"/>
      <c r="I90" s="27"/>
      <c r="J90" s="27"/>
      <c r="K90" s="28" t="str">
        <f aca="false">IF(OR($I90="",$J90=""),"",IFERROR($J90/$I90,""))</f>
        <v/>
      </c>
      <c r="L90" s="27"/>
      <c r="M90" s="27"/>
      <c r="N90" s="28" t="str">
        <f aca="false">IF(OR($L90="",$M90=""),"",IFERROR($L90/$M90,""))</f>
        <v/>
      </c>
      <c r="O90" s="27"/>
      <c r="P90" s="27"/>
      <c r="Q90" s="27"/>
      <c r="R90" s="27"/>
      <c r="S90" s="27"/>
      <c r="T90" s="26" t="str">
        <f aca="false">IF($K90="","",IF($K90&gt;=0.25,"WIN",IF($K90&gt;=0.2,"OK","FAIL")))</f>
        <v/>
      </c>
      <c r="U90" s="26" t="str">
        <f aca="false">IF($K90="","",IF($K90&lt;0.2,"REPOST WITH HOOK B",IF($K90&gt;=0.25,"Bank hook in PLAYBOOK","Hold - watch next run")))</f>
        <v/>
      </c>
      <c r="V90" s="27"/>
    </row>
    <row r="91" customFormat="false" ht="15" hidden="false" customHeight="true" outlineLevel="0" collapsed="false">
      <c r="A91" s="25"/>
      <c r="B91" s="26" t="str">
        <f aca="false">IF($A91="","",TEXT($A91,"ddd"))</f>
        <v/>
      </c>
      <c r="C91" s="27"/>
      <c r="D91" s="27"/>
      <c r="E91" s="27"/>
      <c r="F91" s="27"/>
      <c r="G91" s="27"/>
      <c r="H91" s="27"/>
      <c r="I91" s="27"/>
      <c r="J91" s="27"/>
      <c r="K91" s="28" t="str">
        <f aca="false">IF(OR($I91="",$J91=""),"",IFERROR($J91/$I91,""))</f>
        <v/>
      </c>
      <c r="L91" s="27"/>
      <c r="M91" s="27"/>
      <c r="N91" s="28" t="str">
        <f aca="false">IF(OR($L91="",$M91=""),"",IFERROR($L91/$M91,""))</f>
        <v/>
      </c>
      <c r="O91" s="27"/>
      <c r="P91" s="27"/>
      <c r="Q91" s="27"/>
      <c r="R91" s="27"/>
      <c r="S91" s="27"/>
      <c r="T91" s="26" t="str">
        <f aca="false">IF($K91="","",IF($K91&gt;=0.25,"WIN",IF($K91&gt;=0.2,"OK","FAIL")))</f>
        <v/>
      </c>
      <c r="U91" s="26" t="str">
        <f aca="false">IF($K91="","",IF($K91&lt;0.2,"REPOST WITH HOOK B",IF($K91&gt;=0.25,"Bank hook in PLAYBOOK","Hold - watch next run")))</f>
        <v/>
      </c>
      <c r="V91" s="27"/>
    </row>
    <row r="92" customFormat="false" ht="15" hidden="false" customHeight="true" outlineLevel="0" collapsed="false">
      <c r="A92" s="25"/>
      <c r="B92" s="26" t="str">
        <f aca="false">IF($A92="","",TEXT($A92,"ddd"))</f>
        <v/>
      </c>
      <c r="C92" s="27"/>
      <c r="D92" s="27"/>
      <c r="E92" s="27"/>
      <c r="F92" s="27"/>
      <c r="G92" s="27"/>
      <c r="H92" s="27"/>
      <c r="I92" s="27"/>
      <c r="J92" s="27"/>
      <c r="K92" s="28" t="str">
        <f aca="false">IF(OR($I92="",$J92=""),"",IFERROR($J92/$I92,""))</f>
        <v/>
      </c>
      <c r="L92" s="27"/>
      <c r="M92" s="27"/>
      <c r="N92" s="28" t="str">
        <f aca="false">IF(OR($L92="",$M92=""),"",IFERROR($L92/$M92,""))</f>
        <v/>
      </c>
      <c r="O92" s="27"/>
      <c r="P92" s="27"/>
      <c r="Q92" s="27"/>
      <c r="R92" s="27"/>
      <c r="S92" s="27"/>
      <c r="T92" s="26" t="str">
        <f aca="false">IF($K92="","",IF($K92&gt;=0.25,"WIN",IF($K92&gt;=0.2,"OK","FAIL")))</f>
        <v/>
      </c>
      <c r="U92" s="26" t="str">
        <f aca="false">IF($K92="","",IF($K92&lt;0.2,"REPOST WITH HOOK B",IF($K92&gt;=0.25,"Bank hook in PLAYBOOK","Hold - watch next run")))</f>
        <v/>
      </c>
      <c r="V92" s="27"/>
    </row>
    <row r="93" customFormat="false" ht="15" hidden="false" customHeight="true" outlineLevel="0" collapsed="false">
      <c r="A93" s="25"/>
      <c r="B93" s="26" t="str">
        <f aca="false">IF($A93="","",TEXT($A93,"ddd"))</f>
        <v/>
      </c>
      <c r="C93" s="27"/>
      <c r="D93" s="27"/>
      <c r="E93" s="27"/>
      <c r="F93" s="27"/>
      <c r="G93" s="27"/>
      <c r="H93" s="27"/>
      <c r="I93" s="27"/>
      <c r="J93" s="27"/>
      <c r="K93" s="28" t="str">
        <f aca="false">IF(OR($I93="",$J93=""),"",IFERROR($J93/$I93,""))</f>
        <v/>
      </c>
      <c r="L93" s="27"/>
      <c r="M93" s="27"/>
      <c r="N93" s="28" t="str">
        <f aca="false">IF(OR($L93="",$M93=""),"",IFERROR($L93/$M93,""))</f>
        <v/>
      </c>
      <c r="O93" s="27"/>
      <c r="P93" s="27"/>
      <c r="Q93" s="27"/>
      <c r="R93" s="27"/>
      <c r="S93" s="27"/>
      <c r="T93" s="26" t="str">
        <f aca="false">IF($K93="","",IF($K93&gt;=0.25,"WIN",IF($K93&gt;=0.2,"OK","FAIL")))</f>
        <v/>
      </c>
      <c r="U93" s="26" t="str">
        <f aca="false">IF($K93="","",IF($K93&lt;0.2,"REPOST WITH HOOK B",IF($K93&gt;=0.25,"Bank hook in PLAYBOOK","Hold - watch next run")))</f>
        <v/>
      </c>
      <c r="V93" s="27"/>
    </row>
    <row r="94" customFormat="false" ht="15" hidden="false" customHeight="true" outlineLevel="0" collapsed="false">
      <c r="A94" s="25"/>
      <c r="B94" s="26" t="str">
        <f aca="false">IF($A94="","",TEXT($A94,"ddd"))</f>
        <v/>
      </c>
      <c r="C94" s="27"/>
      <c r="D94" s="27"/>
      <c r="E94" s="27"/>
      <c r="F94" s="27"/>
      <c r="G94" s="27"/>
      <c r="H94" s="27"/>
      <c r="I94" s="27"/>
      <c r="J94" s="27"/>
      <c r="K94" s="28" t="str">
        <f aca="false">IF(OR($I94="",$J94=""),"",IFERROR($J94/$I94,""))</f>
        <v/>
      </c>
      <c r="L94" s="27"/>
      <c r="M94" s="27"/>
      <c r="N94" s="28" t="str">
        <f aca="false">IF(OR($L94="",$M94=""),"",IFERROR($L94/$M94,""))</f>
        <v/>
      </c>
      <c r="O94" s="27"/>
      <c r="P94" s="27"/>
      <c r="Q94" s="27"/>
      <c r="R94" s="27"/>
      <c r="S94" s="27"/>
      <c r="T94" s="26" t="str">
        <f aca="false">IF($K94="","",IF($K94&gt;=0.25,"WIN",IF($K94&gt;=0.2,"OK","FAIL")))</f>
        <v/>
      </c>
      <c r="U94" s="26" t="str">
        <f aca="false">IF($K94="","",IF($K94&lt;0.2,"REPOST WITH HOOK B",IF($K94&gt;=0.25,"Bank hook in PLAYBOOK","Hold - watch next run")))</f>
        <v/>
      </c>
      <c r="V94" s="27"/>
    </row>
    <row r="95" customFormat="false" ht="15" hidden="false" customHeight="true" outlineLevel="0" collapsed="false">
      <c r="A95" s="25"/>
      <c r="B95" s="26" t="str">
        <f aca="false">IF($A95="","",TEXT($A95,"ddd"))</f>
        <v/>
      </c>
      <c r="C95" s="27"/>
      <c r="D95" s="27"/>
      <c r="E95" s="27"/>
      <c r="F95" s="27"/>
      <c r="G95" s="27"/>
      <c r="H95" s="27"/>
      <c r="I95" s="27"/>
      <c r="J95" s="27"/>
      <c r="K95" s="28" t="str">
        <f aca="false">IF(OR($I95="",$J95=""),"",IFERROR($J95/$I95,""))</f>
        <v/>
      </c>
      <c r="L95" s="27"/>
      <c r="M95" s="27"/>
      <c r="N95" s="28" t="str">
        <f aca="false">IF(OR($L95="",$M95=""),"",IFERROR($L95/$M95,""))</f>
        <v/>
      </c>
      <c r="O95" s="27"/>
      <c r="P95" s="27"/>
      <c r="Q95" s="27"/>
      <c r="R95" s="27"/>
      <c r="S95" s="27"/>
      <c r="T95" s="26" t="str">
        <f aca="false">IF($K95="","",IF($K95&gt;=0.25,"WIN",IF($K95&gt;=0.2,"OK","FAIL")))</f>
        <v/>
      </c>
      <c r="U95" s="26" t="str">
        <f aca="false">IF($K95="","",IF($K95&lt;0.2,"REPOST WITH HOOK B",IF($K95&gt;=0.25,"Bank hook in PLAYBOOK","Hold - watch next run")))</f>
        <v/>
      </c>
      <c r="V95" s="27"/>
    </row>
    <row r="96" customFormat="false" ht="15" hidden="false" customHeight="true" outlineLevel="0" collapsed="false">
      <c r="A96" s="25"/>
      <c r="B96" s="26" t="str">
        <f aca="false">IF($A96="","",TEXT($A96,"ddd"))</f>
        <v/>
      </c>
      <c r="C96" s="27"/>
      <c r="D96" s="27"/>
      <c r="E96" s="27"/>
      <c r="F96" s="27"/>
      <c r="G96" s="27"/>
      <c r="H96" s="27"/>
      <c r="I96" s="27"/>
      <c r="J96" s="27"/>
      <c r="K96" s="28" t="str">
        <f aca="false">IF(OR($I96="",$J96=""),"",IFERROR($J96/$I96,""))</f>
        <v/>
      </c>
      <c r="L96" s="27"/>
      <c r="M96" s="27"/>
      <c r="N96" s="28" t="str">
        <f aca="false">IF(OR($L96="",$M96=""),"",IFERROR($L96/$M96,""))</f>
        <v/>
      </c>
      <c r="O96" s="27"/>
      <c r="P96" s="27"/>
      <c r="Q96" s="27"/>
      <c r="R96" s="27"/>
      <c r="S96" s="27"/>
      <c r="T96" s="26" t="str">
        <f aca="false">IF($K96="","",IF($K96&gt;=0.25,"WIN",IF($K96&gt;=0.2,"OK","FAIL")))</f>
        <v/>
      </c>
      <c r="U96" s="26" t="str">
        <f aca="false">IF($K96="","",IF($K96&lt;0.2,"REPOST WITH HOOK B",IF($K96&gt;=0.25,"Bank hook in PLAYBOOK","Hold - watch next run")))</f>
        <v/>
      </c>
      <c r="V96" s="27"/>
    </row>
    <row r="97" customFormat="false" ht="15" hidden="false" customHeight="true" outlineLevel="0" collapsed="false">
      <c r="A97" s="25"/>
      <c r="B97" s="26" t="str">
        <f aca="false">IF($A97="","",TEXT($A97,"ddd"))</f>
        <v/>
      </c>
      <c r="C97" s="27"/>
      <c r="D97" s="27"/>
      <c r="E97" s="27"/>
      <c r="F97" s="27"/>
      <c r="G97" s="27"/>
      <c r="H97" s="27"/>
      <c r="I97" s="27"/>
      <c r="J97" s="27"/>
      <c r="K97" s="28" t="str">
        <f aca="false">IF(OR($I97="",$J97=""),"",IFERROR($J97/$I97,""))</f>
        <v/>
      </c>
      <c r="L97" s="27"/>
      <c r="M97" s="27"/>
      <c r="N97" s="28" t="str">
        <f aca="false">IF(OR($L97="",$M97=""),"",IFERROR($L97/$M97,""))</f>
        <v/>
      </c>
      <c r="O97" s="27"/>
      <c r="P97" s="27"/>
      <c r="Q97" s="27"/>
      <c r="R97" s="27"/>
      <c r="S97" s="27"/>
      <c r="T97" s="26" t="str">
        <f aca="false">IF($K97="","",IF($K97&gt;=0.25,"WIN",IF($K97&gt;=0.2,"OK","FAIL")))</f>
        <v/>
      </c>
      <c r="U97" s="26" t="str">
        <f aca="false">IF($K97="","",IF($K97&lt;0.2,"REPOST WITH HOOK B",IF($K97&gt;=0.25,"Bank hook in PLAYBOOK","Hold - watch next run")))</f>
        <v/>
      </c>
      <c r="V97" s="27"/>
    </row>
    <row r="98" customFormat="false" ht="15" hidden="false" customHeight="true" outlineLevel="0" collapsed="false">
      <c r="A98" s="25"/>
      <c r="B98" s="26" t="str">
        <f aca="false">IF($A98="","",TEXT($A98,"ddd"))</f>
        <v/>
      </c>
      <c r="C98" s="27"/>
      <c r="D98" s="27"/>
      <c r="E98" s="27"/>
      <c r="F98" s="27"/>
      <c r="G98" s="27"/>
      <c r="H98" s="27"/>
      <c r="I98" s="27"/>
      <c r="J98" s="27"/>
      <c r="K98" s="28" t="str">
        <f aca="false">IF(OR($I98="",$J98=""),"",IFERROR($J98/$I98,""))</f>
        <v/>
      </c>
      <c r="L98" s="27"/>
      <c r="M98" s="27"/>
      <c r="N98" s="28" t="str">
        <f aca="false">IF(OR($L98="",$M98=""),"",IFERROR($L98/$M98,""))</f>
        <v/>
      </c>
      <c r="O98" s="27"/>
      <c r="P98" s="27"/>
      <c r="Q98" s="27"/>
      <c r="R98" s="27"/>
      <c r="S98" s="27"/>
      <c r="T98" s="26" t="str">
        <f aca="false">IF($K98="","",IF($K98&gt;=0.25,"WIN",IF($K98&gt;=0.2,"OK","FAIL")))</f>
        <v/>
      </c>
      <c r="U98" s="26" t="str">
        <f aca="false">IF($K98="","",IF($K98&lt;0.2,"REPOST WITH HOOK B",IF($K98&gt;=0.25,"Bank hook in PLAYBOOK","Hold - watch next run")))</f>
        <v/>
      </c>
      <c r="V98" s="27"/>
    </row>
    <row r="99" customFormat="false" ht="15" hidden="false" customHeight="true" outlineLevel="0" collapsed="false">
      <c r="A99" s="25"/>
      <c r="B99" s="26" t="str">
        <f aca="false">IF($A99="","",TEXT($A99,"ddd"))</f>
        <v/>
      </c>
      <c r="C99" s="27"/>
      <c r="D99" s="27"/>
      <c r="E99" s="27"/>
      <c r="F99" s="27"/>
      <c r="G99" s="27"/>
      <c r="H99" s="27"/>
      <c r="I99" s="27"/>
      <c r="J99" s="27"/>
      <c r="K99" s="28" t="str">
        <f aca="false">IF(OR($I99="",$J99=""),"",IFERROR($J99/$I99,""))</f>
        <v/>
      </c>
      <c r="L99" s="27"/>
      <c r="M99" s="27"/>
      <c r="N99" s="28" t="str">
        <f aca="false">IF(OR($L99="",$M99=""),"",IFERROR($L99/$M99,""))</f>
        <v/>
      </c>
      <c r="O99" s="27"/>
      <c r="P99" s="27"/>
      <c r="Q99" s="27"/>
      <c r="R99" s="27"/>
      <c r="S99" s="27"/>
      <c r="T99" s="26" t="str">
        <f aca="false">IF($K99="","",IF($K99&gt;=0.25,"WIN",IF($K99&gt;=0.2,"OK","FAIL")))</f>
        <v/>
      </c>
      <c r="U99" s="26" t="str">
        <f aca="false">IF($K99="","",IF($K99&lt;0.2,"REPOST WITH HOOK B",IF($K99&gt;=0.25,"Bank hook in PLAYBOOK","Hold - watch next run")))</f>
        <v/>
      </c>
      <c r="V99" s="27"/>
    </row>
    <row r="100" customFormat="false" ht="15" hidden="false" customHeight="true" outlineLevel="0" collapsed="false">
      <c r="A100" s="25"/>
      <c r="B100" s="26" t="str">
        <f aca="false">IF($A100="","",TEXT($A100,"ddd"))</f>
        <v/>
      </c>
      <c r="C100" s="27"/>
      <c r="D100" s="27"/>
      <c r="E100" s="27"/>
      <c r="F100" s="27"/>
      <c r="G100" s="27"/>
      <c r="H100" s="27"/>
      <c r="I100" s="27"/>
      <c r="J100" s="27"/>
      <c r="K100" s="28" t="str">
        <f aca="false">IF(OR($I100="",$J100=""),"",IFERROR($J100/$I100,""))</f>
        <v/>
      </c>
      <c r="L100" s="27"/>
      <c r="M100" s="27"/>
      <c r="N100" s="28" t="str">
        <f aca="false">IF(OR($L100="",$M100=""),"",IFERROR($L100/$M100,""))</f>
        <v/>
      </c>
      <c r="O100" s="27"/>
      <c r="P100" s="27"/>
      <c r="Q100" s="27"/>
      <c r="R100" s="27"/>
      <c r="S100" s="27"/>
      <c r="T100" s="26" t="str">
        <f aca="false">IF($K100="","",IF($K100&gt;=0.25,"WIN",IF($K100&gt;=0.2,"OK","FAIL")))</f>
        <v/>
      </c>
      <c r="U100" s="26" t="str">
        <f aca="false">IF($K100="","",IF($K100&lt;0.2,"REPOST WITH HOOK B",IF($K100&gt;=0.25,"Bank hook in PLAYBOOK","Hold - watch next run")))</f>
        <v/>
      </c>
      <c r="V100" s="27"/>
    </row>
    <row r="101" customFormat="false" ht="15" hidden="false" customHeight="true" outlineLevel="0" collapsed="false">
      <c r="A101" s="25"/>
      <c r="B101" s="26" t="str">
        <f aca="false">IF($A101="","",TEXT($A101,"ddd"))</f>
        <v/>
      </c>
      <c r="C101" s="27"/>
      <c r="D101" s="27"/>
      <c r="E101" s="27"/>
      <c r="F101" s="27"/>
      <c r="G101" s="27"/>
      <c r="H101" s="27"/>
      <c r="I101" s="27"/>
      <c r="J101" s="27"/>
      <c r="K101" s="28" t="str">
        <f aca="false">IF(OR($I101="",$J101=""),"",IFERROR($J101/$I101,""))</f>
        <v/>
      </c>
      <c r="L101" s="27"/>
      <c r="M101" s="27"/>
      <c r="N101" s="28" t="str">
        <f aca="false">IF(OR($L101="",$M101=""),"",IFERROR($L101/$M101,""))</f>
        <v/>
      </c>
      <c r="O101" s="27"/>
      <c r="P101" s="27"/>
      <c r="Q101" s="27"/>
      <c r="R101" s="27"/>
      <c r="S101" s="27"/>
      <c r="T101" s="26" t="str">
        <f aca="false">IF($K101="","",IF($K101&gt;=0.25,"WIN",IF($K101&gt;=0.2,"OK","FAIL")))</f>
        <v/>
      </c>
      <c r="U101" s="26" t="str">
        <f aca="false">IF($K101="","",IF($K101&lt;0.2,"REPOST WITH HOOK B",IF($K101&gt;=0.25,"Bank hook in PLAYBOOK","Hold - watch next run")))</f>
        <v/>
      </c>
      <c r="V101" s="27"/>
    </row>
    <row r="102" customFormat="false" ht="15" hidden="false" customHeight="true" outlineLevel="0" collapsed="false">
      <c r="A102" s="25"/>
      <c r="B102" s="26" t="str">
        <f aca="false">IF($A102="","",TEXT($A102,"ddd"))</f>
        <v/>
      </c>
      <c r="C102" s="27"/>
      <c r="D102" s="27"/>
      <c r="E102" s="27"/>
      <c r="F102" s="27"/>
      <c r="G102" s="27"/>
      <c r="H102" s="27"/>
      <c r="I102" s="27"/>
      <c r="J102" s="27"/>
      <c r="K102" s="28" t="str">
        <f aca="false">IF(OR($I102="",$J102=""),"",IFERROR($J102/$I102,""))</f>
        <v/>
      </c>
      <c r="L102" s="27"/>
      <c r="M102" s="27"/>
      <c r="N102" s="28" t="str">
        <f aca="false">IF(OR($L102="",$M102=""),"",IFERROR($L102/$M102,""))</f>
        <v/>
      </c>
      <c r="O102" s="27"/>
      <c r="P102" s="27"/>
      <c r="Q102" s="27"/>
      <c r="R102" s="27"/>
      <c r="S102" s="27"/>
      <c r="T102" s="26" t="str">
        <f aca="false">IF($K102="","",IF($K102&gt;=0.25,"WIN",IF($K102&gt;=0.2,"OK","FAIL")))</f>
        <v/>
      </c>
      <c r="U102" s="26" t="str">
        <f aca="false">IF($K102="","",IF($K102&lt;0.2,"REPOST WITH HOOK B",IF($K102&gt;=0.25,"Bank hook in PLAYBOOK","Hold - watch next run")))</f>
        <v/>
      </c>
      <c r="V102" s="27"/>
    </row>
    <row r="103" customFormat="false" ht="15" hidden="false" customHeight="true" outlineLevel="0" collapsed="false">
      <c r="A103" s="25"/>
      <c r="B103" s="26" t="str">
        <f aca="false">IF($A103="","",TEXT($A103,"ddd"))</f>
        <v/>
      </c>
      <c r="C103" s="27"/>
      <c r="D103" s="27"/>
      <c r="E103" s="27"/>
      <c r="F103" s="27"/>
      <c r="G103" s="27"/>
      <c r="H103" s="27"/>
      <c r="I103" s="27"/>
      <c r="J103" s="27"/>
      <c r="K103" s="28" t="str">
        <f aca="false">IF(OR($I103="",$J103=""),"",IFERROR($J103/$I103,""))</f>
        <v/>
      </c>
      <c r="L103" s="27"/>
      <c r="M103" s="27"/>
      <c r="N103" s="28" t="str">
        <f aca="false">IF(OR($L103="",$M103=""),"",IFERROR($L103/$M103,""))</f>
        <v/>
      </c>
      <c r="O103" s="27"/>
      <c r="P103" s="27"/>
      <c r="Q103" s="27"/>
      <c r="R103" s="27"/>
      <c r="S103" s="27"/>
      <c r="T103" s="26" t="str">
        <f aca="false">IF($K103="","",IF($K103&gt;=0.25,"WIN",IF($K103&gt;=0.2,"OK","FAIL")))</f>
        <v/>
      </c>
      <c r="U103" s="26" t="str">
        <f aca="false">IF($K103="","",IF($K103&lt;0.2,"REPOST WITH HOOK B",IF($K103&gt;=0.25,"Bank hook in PLAYBOOK","Hold - watch next run")))</f>
        <v/>
      </c>
      <c r="V103" s="27"/>
    </row>
    <row r="104" customFormat="false" ht="15" hidden="false" customHeight="true" outlineLevel="0" collapsed="false">
      <c r="A104" s="25"/>
      <c r="B104" s="26" t="str">
        <f aca="false">IF($A104="","",TEXT($A104,"ddd"))</f>
        <v/>
      </c>
      <c r="C104" s="27"/>
      <c r="D104" s="27"/>
      <c r="E104" s="27"/>
      <c r="F104" s="27"/>
      <c r="G104" s="27"/>
      <c r="H104" s="27"/>
      <c r="I104" s="27"/>
      <c r="J104" s="27"/>
      <c r="K104" s="28" t="str">
        <f aca="false">IF(OR($I104="",$J104=""),"",IFERROR($J104/$I104,""))</f>
        <v/>
      </c>
      <c r="L104" s="27"/>
      <c r="M104" s="27"/>
      <c r="N104" s="28" t="str">
        <f aca="false">IF(OR($L104="",$M104=""),"",IFERROR($L104/$M104,""))</f>
        <v/>
      </c>
      <c r="O104" s="27"/>
      <c r="P104" s="27"/>
      <c r="Q104" s="27"/>
      <c r="R104" s="27"/>
      <c r="S104" s="27"/>
      <c r="T104" s="26" t="str">
        <f aca="false">IF($K104="","",IF($K104&gt;=0.25,"WIN",IF($K104&gt;=0.2,"OK","FAIL")))</f>
        <v/>
      </c>
      <c r="U104" s="26" t="str">
        <f aca="false">IF($K104="","",IF($K104&lt;0.2,"REPOST WITH HOOK B",IF($K104&gt;=0.25,"Bank hook in PLAYBOOK","Hold - watch next run")))</f>
        <v/>
      </c>
      <c r="V104" s="27"/>
    </row>
    <row r="105" customFormat="false" ht="15" hidden="false" customHeight="true" outlineLevel="0" collapsed="false">
      <c r="A105" s="25"/>
      <c r="B105" s="26" t="str">
        <f aca="false">IF($A105="","",TEXT($A105,"ddd"))</f>
        <v/>
      </c>
      <c r="C105" s="27"/>
      <c r="D105" s="27"/>
      <c r="E105" s="27"/>
      <c r="F105" s="27"/>
      <c r="G105" s="27"/>
      <c r="H105" s="27"/>
      <c r="I105" s="27"/>
      <c r="J105" s="27"/>
      <c r="K105" s="28" t="str">
        <f aca="false">IF(OR($I105="",$J105=""),"",IFERROR($J105/$I105,""))</f>
        <v/>
      </c>
      <c r="L105" s="27"/>
      <c r="M105" s="27"/>
      <c r="N105" s="28" t="str">
        <f aca="false">IF(OR($L105="",$M105=""),"",IFERROR($L105/$M105,""))</f>
        <v/>
      </c>
      <c r="O105" s="27"/>
      <c r="P105" s="27"/>
      <c r="Q105" s="27"/>
      <c r="R105" s="27"/>
      <c r="S105" s="27"/>
      <c r="T105" s="26" t="str">
        <f aca="false">IF($K105="","",IF($K105&gt;=0.25,"WIN",IF($K105&gt;=0.2,"OK","FAIL")))</f>
        <v/>
      </c>
      <c r="U105" s="26" t="str">
        <f aca="false">IF($K105="","",IF($K105&lt;0.2,"REPOST WITH HOOK B",IF($K105&gt;=0.25,"Bank hook in PLAYBOOK","Hold - watch next run")))</f>
        <v/>
      </c>
      <c r="V105" s="27"/>
    </row>
    <row r="106" customFormat="false" ht="15" hidden="false" customHeight="true" outlineLevel="0" collapsed="false">
      <c r="A106" s="25"/>
      <c r="B106" s="26" t="str">
        <f aca="false">IF($A106="","",TEXT($A106,"ddd"))</f>
        <v/>
      </c>
      <c r="C106" s="27"/>
      <c r="D106" s="27"/>
      <c r="E106" s="27"/>
      <c r="F106" s="27"/>
      <c r="G106" s="27"/>
      <c r="H106" s="27"/>
      <c r="I106" s="27"/>
      <c r="J106" s="27"/>
      <c r="K106" s="28" t="str">
        <f aca="false">IF(OR($I106="",$J106=""),"",IFERROR($J106/$I106,""))</f>
        <v/>
      </c>
      <c r="L106" s="27"/>
      <c r="M106" s="27"/>
      <c r="N106" s="28" t="str">
        <f aca="false">IF(OR($L106="",$M106=""),"",IFERROR($L106/$M106,""))</f>
        <v/>
      </c>
      <c r="O106" s="27"/>
      <c r="P106" s="27"/>
      <c r="Q106" s="27"/>
      <c r="R106" s="27"/>
      <c r="S106" s="27"/>
      <c r="T106" s="26" t="str">
        <f aca="false">IF($K106="","",IF($K106&gt;=0.25,"WIN",IF($K106&gt;=0.2,"OK","FAIL")))</f>
        <v/>
      </c>
      <c r="U106" s="26" t="str">
        <f aca="false">IF($K106="","",IF($K106&lt;0.2,"REPOST WITH HOOK B",IF($K106&gt;=0.25,"Bank hook in PLAYBOOK","Hold - watch next run")))</f>
        <v/>
      </c>
      <c r="V106" s="27"/>
    </row>
    <row r="107" customFormat="false" ht="15" hidden="false" customHeight="true" outlineLevel="0" collapsed="false">
      <c r="A107" s="25"/>
      <c r="B107" s="26" t="str">
        <f aca="false">IF($A107="","",TEXT($A107,"ddd"))</f>
        <v/>
      </c>
      <c r="C107" s="27"/>
      <c r="D107" s="27"/>
      <c r="E107" s="27"/>
      <c r="F107" s="27"/>
      <c r="G107" s="27"/>
      <c r="H107" s="27"/>
      <c r="I107" s="27"/>
      <c r="J107" s="27"/>
      <c r="K107" s="28" t="str">
        <f aca="false">IF(OR($I107="",$J107=""),"",IFERROR($J107/$I107,""))</f>
        <v/>
      </c>
      <c r="L107" s="27"/>
      <c r="M107" s="27"/>
      <c r="N107" s="28" t="str">
        <f aca="false">IF(OR($L107="",$M107=""),"",IFERROR($L107/$M107,""))</f>
        <v/>
      </c>
      <c r="O107" s="27"/>
      <c r="P107" s="27"/>
      <c r="Q107" s="27"/>
      <c r="R107" s="27"/>
      <c r="S107" s="27"/>
      <c r="T107" s="26" t="str">
        <f aca="false">IF($K107="","",IF($K107&gt;=0.25,"WIN",IF($K107&gt;=0.2,"OK","FAIL")))</f>
        <v/>
      </c>
      <c r="U107" s="26" t="str">
        <f aca="false">IF($K107="","",IF($K107&lt;0.2,"REPOST WITH HOOK B",IF($K107&gt;=0.25,"Bank hook in PLAYBOOK","Hold - watch next run")))</f>
        <v/>
      </c>
      <c r="V107" s="27"/>
    </row>
    <row r="108" customFormat="false" ht="15" hidden="false" customHeight="true" outlineLevel="0" collapsed="false">
      <c r="A108" s="25"/>
      <c r="B108" s="26" t="str">
        <f aca="false">IF($A108="","",TEXT($A108,"ddd"))</f>
        <v/>
      </c>
      <c r="C108" s="27"/>
      <c r="D108" s="27"/>
      <c r="E108" s="27"/>
      <c r="F108" s="27"/>
      <c r="G108" s="27"/>
      <c r="H108" s="27"/>
      <c r="I108" s="27"/>
      <c r="J108" s="27"/>
      <c r="K108" s="28" t="str">
        <f aca="false">IF(OR($I108="",$J108=""),"",IFERROR($J108/$I108,""))</f>
        <v/>
      </c>
      <c r="L108" s="27"/>
      <c r="M108" s="27"/>
      <c r="N108" s="28" t="str">
        <f aca="false">IF(OR($L108="",$M108=""),"",IFERROR($L108/$M108,""))</f>
        <v/>
      </c>
      <c r="O108" s="27"/>
      <c r="P108" s="27"/>
      <c r="Q108" s="27"/>
      <c r="R108" s="27"/>
      <c r="S108" s="27"/>
      <c r="T108" s="26" t="str">
        <f aca="false">IF($K108="","",IF($K108&gt;=0.25,"WIN",IF($K108&gt;=0.2,"OK","FAIL")))</f>
        <v/>
      </c>
      <c r="U108" s="26" t="str">
        <f aca="false">IF($K108="","",IF($K108&lt;0.2,"REPOST WITH HOOK B",IF($K108&gt;=0.25,"Bank hook in PLAYBOOK","Hold - watch next run")))</f>
        <v/>
      </c>
      <c r="V108" s="27"/>
    </row>
    <row r="109" customFormat="false" ht="15" hidden="false" customHeight="true" outlineLevel="0" collapsed="false">
      <c r="A109" s="25"/>
      <c r="B109" s="26" t="str">
        <f aca="false">IF($A109="","",TEXT($A109,"ddd"))</f>
        <v/>
      </c>
      <c r="C109" s="27"/>
      <c r="D109" s="27"/>
      <c r="E109" s="27"/>
      <c r="F109" s="27"/>
      <c r="G109" s="27"/>
      <c r="H109" s="27"/>
      <c r="I109" s="27"/>
      <c r="J109" s="27"/>
      <c r="K109" s="28" t="str">
        <f aca="false">IF(OR($I109="",$J109=""),"",IFERROR($J109/$I109,""))</f>
        <v/>
      </c>
      <c r="L109" s="27"/>
      <c r="M109" s="27"/>
      <c r="N109" s="28" t="str">
        <f aca="false">IF(OR($L109="",$M109=""),"",IFERROR($L109/$M109,""))</f>
        <v/>
      </c>
      <c r="O109" s="27"/>
      <c r="P109" s="27"/>
      <c r="Q109" s="27"/>
      <c r="R109" s="27"/>
      <c r="S109" s="27"/>
      <c r="T109" s="26" t="str">
        <f aca="false">IF($K109="","",IF($K109&gt;=0.25,"WIN",IF($K109&gt;=0.2,"OK","FAIL")))</f>
        <v/>
      </c>
      <c r="U109" s="26" t="str">
        <f aca="false">IF($K109="","",IF($K109&lt;0.2,"REPOST WITH HOOK B",IF($K109&gt;=0.25,"Bank hook in PLAYBOOK","Hold - watch next run")))</f>
        <v/>
      </c>
      <c r="V109" s="27"/>
    </row>
    <row r="110" customFormat="false" ht="15" hidden="false" customHeight="true" outlineLevel="0" collapsed="false">
      <c r="A110" s="25"/>
      <c r="B110" s="26" t="str">
        <f aca="false">IF($A110="","",TEXT($A110,"ddd"))</f>
        <v/>
      </c>
      <c r="C110" s="27"/>
      <c r="D110" s="27"/>
      <c r="E110" s="27"/>
      <c r="F110" s="27"/>
      <c r="G110" s="27"/>
      <c r="H110" s="27"/>
      <c r="I110" s="27"/>
      <c r="J110" s="27"/>
      <c r="K110" s="28" t="str">
        <f aca="false">IF(OR($I110="",$J110=""),"",IFERROR($J110/$I110,""))</f>
        <v/>
      </c>
      <c r="L110" s="27"/>
      <c r="M110" s="27"/>
      <c r="N110" s="28" t="str">
        <f aca="false">IF(OR($L110="",$M110=""),"",IFERROR($L110/$M110,""))</f>
        <v/>
      </c>
      <c r="O110" s="27"/>
      <c r="P110" s="27"/>
      <c r="Q110" s="27"/>
      <c r="R110" s="27"/>
      <c r="S110" s="27"/>
      <c r="T110" s="26" t="str">
        <f aca="false">IF($K110="","",IF($K110&gt;=0.25,"WIN",IF($K110&gt;=0.2,"OK","FAIL")))</f>
        <v/>
      </c>
      <c r="U110" s="26" t="str">
        <f aca="false">IF($K110="","",IF($K110&lt;0.2,"REPOST WITH HOOK B",IF($K110&gt;=0.25,"Bank hook in PLAYBOOK","Hold - watch next run")))</f>
        <v/>
      </c>
      <c r="V110" s="27"/>
    </row>
    <row r="111" customFormat="false" ht="15" hidden="false" customHeight="true" outlineLevel="0" collapsed="false">
      <c r="A111" s="25"/>
      <c r="B111" s="26" t="str">
        <f aca="false">IF($A111="","",TEXT($A111,"ddd"))</f>
        <v/>
      </c>
      <c r="C111" s="27"/>
      <c r="D111" s="27"/>
      <c r="E111" s="27"/>
      <c r="F111" s="27"/>
      <c r="G111" s="27"/>
      <c r="H111" s="27"/>
      <c r="I111" s="27"/>
      <c r="J111" s="27"/>
      <c r="K111" s="28" t="str">
        <f aca="false">IF(OR($I111="",$J111=""),"",IFERROR($J111/$I111,""))</f>
        <v/>
      </c>
      <c r="L111" s="27"/>
      <c r="M111" s="27"/>
      <c r="N111" s="28" t="str">
        <f aca="false">IF(OR($L111="",$M111=""),"",IFERROR($L111/$M111,""))</f>
        <v/>
      </c>
      <c r="O111" s="27"/>
      <c r="P111" s="27"/>
      <c r="Q111" s="27"/>
      <c r="R111" s="27"/>
      <c r="S111" s="27"/>
      <c r="T111" s="26" t="str">
        <f aca="false">IF($K111="","",IF($K111&gt;=0.25,"WIN",IF($K111&gt;=0.2,"OK","FAIL")))</f>
        <v/>
      </c>
      <c r="U111" s="26" t="str">
        <f aca="false">IF($K111="","",IF($K111&lt;0.2,"REPOST WITH HOOK B",IF($K111&gt;=0.25,"Bank hook in PLAYBOOK","Hold - watch next run")))</f>
        <v/>
      </c>
      <c r="V111" s="27"/>
    </row>
    <row r="112" customFormat="false" ht="15" hidden="false" customHeight="true" outlineLevel="0" collapsed="false">
      <c r="A112" s="25"/>
      <c r="B112" s="26" t="str">
        <f aca="false">IF($A112="","",TEXT($A112,"ddd"))</f>
        <v/>
      </c>
      <c r="C112" s="27"/>
      <c r="D112" s="27"/>
      <c r="E112" s="27"/>
      <c r="F112" s="27"/>
      <c r="G112" s="27"/>
      <c r="H112" s="27"/>
      <c r="I112" s="27"/>
      <c r="J112" s="27"/>
      <c r="K112" s="28" t="str">
        <f aca="false">IF(OR($I112="",$J112=""),"",IFERROR($J112/$I112,""))</f>
        <v/>
      </c>
      <c r="L112" s="27"/>
      <c r="M112" s="27"/>
      <c r="N112" s="28" t="str">
        <f aca="false">IF(OR($L112="",$M112=""),"",IFERROR($L112/$M112,""))</f>
        <v/>
      </c>
      <c r="O112" s="27"/>
      <c r="P112" s="27"/>
      <c r="Q112" s="27"/>
      <c r="R112" s="27"/>
      <c r="S112" s="27"/>
      <c r="T112" s="26" t="str">
        <f aca="false">IF($K112="","",IF($K112&gt;=0.25,"WIN",IF($K112&gt;=0.2,"OK","FAIL")))</f>
        <v/>
      </c>
      <c r="U112" s="26" t="str">
        <f aca="false">IF($K112="","",IF($K112&lt;0.2,"REPOST WITH HOOK B",IF($K112&gt;=0.25,"Bank hook in PLAYBOOK","Hold - watch next run")))</f>
        <v/>
      </c>
      <c r="V112" s="27"/>
    </row>
    <row r="113" customFormat="false" ht="15" hidden="false" customHeight="true" outlineLevel="0" collapsed="false">
      <c r="A113" s="25"/>
      <c r="B113" s="26" t="str">
        <f aca="false">IF($A113="","",TEXT($A113,"ddd"))</f>
        <v/>
      </c>
      <c r="C113" s="27"/>
      <c r="D113" s="27"/>
      <c r="E113" s="27"/>
      <c r="F113" s="27"/>
      <c r="G113" s="27"/>
      <c r="H113" s="27"/>
      <c r="I113" s="27"/>
      <c r="J113" s="27"/>
      <c r="K113" s="28" t="str">
        <f aca="false">IF(OR($I113="",$J113=""),"",IFERROR($J113/$I113,""))</f>
        <v/>
      </c>
      <c r="L113" s="27"/>
      <c r="M113" s="27"/>
      <c r="N113" s="28" t="str">
        <f aca="false">IF(OR($L113="",$M113=""),"",IFERROR($L113/$M113,""))</f>
        <v/>
      </c>
      <c r="O113" s="27"/>
      <c r="P113" s="27"/>
      <c r="Q113" s="27"/>
      <c r="R113" s="27"/>
      <c r="S113" s="27"/>
      <c r="T113" s="26" t="str">
        <f aca="false">IF($K113="","",IF($K113&gt;=0.25,"WIN",IF($K113&gt;=0.2,"OK","FAIL")))</f>
        <v/>
      </c>
      <c r="U113" s="26" t="str">
        <f aca="false">IF($K113="","",IF($K113&lt;0.2,"REPOST WITH HOOK B",IF($K113&gt;=0.25,"Bank hook in PLAYBOOK","Hold - watch next run")))</f>
        <v/>
      </c>
      <c r="V113" s="27"/>
    </row>
    <row r="114" customFormat="false" ht="15" hidden="false" customHeight="true" outlineLevel="0" collapsed="false">
      <c r="A114" s="25"/>
      <c r="B114" s="26" t="str">
        <f aca="false">IF($A114="","",TEXT($A114,"ddd"))</f>
        <v/>
      </c>
      <c r="C114" s="27"/>
      <c r="D114" s="27"/>
      <c r="E114" s="27"/>
      <c r="F114" s="27"/>
      <c r="G114" s="27"/>
      <c r="H114" s="27"/>
      <c r="I114" s="27"/>
      <c r="J114" s="27"/>
      <c r="K114" s="28" t="str">
        <f aca="false">IF(OR($I114="",$J114=""),"",IFERROR($J114/$I114,""))</f>
        <v/>
      </c>
      <c r="L114" s="27"/>
      <c r="M114" s="27"/>
      <c r="N114" s="28" t="str">
        <f aca="false">IF(OR($L114="",$M114=""),"",IFERROR($L114/$M114,""))</f>
        <v/>
      </c>
      <c r="O114" s="27"/>
      <c r="P114" s="27"/>
      <c r="Q114" s="27"/>
      <c r="R114" s="27"/>
      <c r="S114" s="27"/>
      <c r="T114" s="26" t="str">
        <f aca="false">IF($K114="","",IF($K114&gt;=0.25,"WIN",IF($K114&gt;=0.2,"OK","FAIL")))</f>
        <v/>
      </c>
      <c r="U114" s="26" t="str">
        <f aca="false">IF($K114="","",IF($K114&lt;0.2,"REPOST WITH HOOK B",IF($K114&gt;=0.25,"Bank hook in PLAYBOOK","Hold - watch next run")))</f>
        <v/>
      </c>
      <c r="V114" s="27"/>
    </row>
    <row r="115" customFormat="false" ht="15" hidden="false" customHeight="true" outlineLevel="0" collapsed="false">
      <c r="A115" s="25"/>
      <c r="B115" s="26" t="str">
        <f aca="false">IF($A115="","",TEXT($A115,"ddd"))</f>
        <v/>
      </c>
      <c r="C115" s="27"/>
      <c r="D115" s="27"/>
      <c r="E115" s="27"/>
      <c r="F115" s="27"/>
      <c r="G115" s="27"/>
      <c r="H115" s="27"/>
      <c r="I115" s="27"/>
      <c r="J115" s="27"/>
      <c r="K115" s="28" t="str">
        <f aca="false">IF(OR($I115="",$J115=""),"",IFERROR($J115/$I115,""))</f>
        <v/>
      </c>
      <c r="L115" s="27"/>
      <c r="M115" s="27"/>
      <c r="N115" s="28" t="str">
        <f aca="false">IF(OR($L115="",$M115=""),"",IFERROR($L115/$M115,""))</f>
        <v/>
      </c>
      <c r="O115" s="27"/>
      <c r="P115" s="27"/>
      <c r="Q115" s="27"/>
      <c r="R115" s="27"/>
      <c r="S115" s="27"/>
      <c r="T115" s="26" t="str">
        <f aca="false">IF($K115="","",IF($K115&gt;=0.25,"WIN",IF($K115&gt;=0.2,"OK","FAIL")))</f>
        <v/>
      </c>
      <c r="U115" s="26" t="str">
        <f aca="false">IF($K115="","",IF($K115&lt;0.2,"REPOST WITH HOOK B",IF($K115&gt;=0.25,"Bank hook in PLAYBOOK","Hold - watch next run")))</f>
        <v/>
      </c>
      <c r="V115" s="27"/>
    </row>
    <row r="116" customFormat="false" ht="15" hidden="false" customHeight="true" outlineLevel="0" collapsed="false">
      <c r="A116" s="25"/>
      <c r="B116" s="26" t="str">
        <f aca="false">IF($A116="","",TEXT($A116,"ddd"))</f>
        <v/>
      </c>
      <c r="C116" s="27"/>
      <c r="D116" s="27"/>
      <c r="E116" s="27"/>
      <c r="F116" s="27"/>
      <c r="G116" s="27"/>
      <c r="H116" s="27"/>
      <c r="I116" s="27"/>
      <c r="J116" s="27"/>
      <c r="K116" s="28" t="str">
        <f aca="false">IF(OR($I116="",$J116=""),"",IFERROR($J116/$I116,""))</f>
        <v/>
      </c>
      <c r="L116" s="27"/>
      <c r="M116" s="27"/>
      <c r="N116" s="28" t="str">
        <f aca="false">IF(OR($L116="",$M116=""),"",IFERROR($L116/$M116,""))</f>
        <v/>
      </c>
      <c r="O116" s="27"/>
      <c r="P116" s="27"/>
      <c r="Q116" s="27"/>
      <c r="R116" s="27"/>
      <c r="S116" s="27"/>
      <c r="T116" s="26" t="str">
        <f aca="false">IF($K116="","",IF($K116&gt;=0.25,"WIN",IF($K116&gt;=0.2,"OK","FAIL")))</f>
        <v/>
      </c>
      <c r="U116" s="26" t="str">
        <f aca="false">IF($K116="","",IF($K116&lt;0.2,"REPOST WITH HOOK B",IF($K116&gt;=0.25,"Bank hook in PLAYBOOK","Hold - watch next run")))</f>
        <v/>
      </c>
      <c r="V116" s="27"/>
    </row>
    <row r="117" customFormat="false" ht="15" hidden="false" customHeight="true" outlineLevel="0" collapsed="false">
      <c r="A117" s="25"/>
      <c r="B117" s="26" t="str">
        <f aca="false">IF($A117="","",TEXT($A117,"ddd"))</f>
        <v/>
      </c>
      <c r="C117" s="27"/>
      <c r="D117" s="27"/>
      <c r="E117" s="27"/>
      <c r="F117" s="27"/>
      <c r="G117" s="27"/>
      <c r="H117" s="27"/>
      <c r="I117" s="27"/>
      <c r="J117" s="27"/>
      <c r="K117" s="28" t="str">
        <f aca="false">IF(OR($I117="",$J117=""),"",IFERROR($J117/$I117,""))</f>
        <v/>
      </c>
      <c r="L117" s="27"/>
      <c r="M117" s="27"/>
      <c r="N117" s="28" t="str">
        <f aca="false">IF(OR($L117="",$M117=""),"",IFERROR($L117/$M117,""))</f>
        <v/>
      </c>
      <c r="O117" s="27"/>
      <c r="P117" s="27"/>
      <c r="Q117" s="27"/>
      <c r="R117" s="27"/>
      <c r="S117" s="27"/>
      <c r="T117" s="26" t="str">
        <f aca="false">IF($K117="","",IF($K117&gt;=0.25,"WIN",IF($K117&gt;=0.2,"OK","FAIL")))</f>
        <v/>
      </c>
      <c r="U117" s="26" t="str">
        <f aca="false">IF($K117="","",IF($K117&lt;0.2,"REPOST WITH HOOK B",IF($K117&gt;=0.25,"Bank hook in PLAYBOOK","Hold - watch next run")))</f>
        <v/>
      </c>
      <c r="V117" s="27"/>
    </row>
    <row r="118" customFormat="false" ht="15" hidden="false" customHeight="true" outlineLevel="0" collapsed="false">
      <c r="A118" s="25"/>
      <c r="B118" s="26" t="str">
        <f aca="false">IF($A118="","",TEXT($A118,"ddd"))</f>
        <v/>
      </c>
      <c r="C118" s="27"/>
      <c r="D118" s="27"/>
      <c r="E118" s="27"/>
      <c r="F118" s="27"/>
      <c r="G118" s="27"/>
      <c r="H118" s="27"/>
      <c r="I118" s="27"/>
      <c r="J118" s="27"/>
      <c r="K118" s="28" t="str">
        <f aca="false">IF(OR($I118="",$J118=""),"",IFERROR($J118/$I118,""))</f>
        <v/>
      </c>
      <c r="L118" s="27"/>
      <c r="M118" s="27"/>
      <c r="N118" s="28" t="str">
        <f aca="false">IF(OR($L118="",$M118=""),"",IFERROR($L118/$M118,""))</f>
        <v/>
      </c>
      <c r="O118" s="27"/>
      <c r="P118" s="27"/>
      <c r="Q118" s="27"/>
      <c r="R118" s="27"/>
      <c r="S118" s="27"/>
      <c r="T118" s="26" t="str">
        <f aca="false">IF($K118="","",IF($K118&gt;=0.25,"WIN",IF($K118&gt;=0.2,"OK","FAIL")))</f>
        <v/>
      </c>
      <c r="U118" s="26" t="str">
        <f aca="false">IF($K118="","",IF($K118&lt;0.2,"REPOST WITH HOOK B",IF($K118&gt;=0.25,"Bank hook in PLAYBOOK","Hold - watch next run")))</f>
        <v/>
      </c>
      <c r="V118" s="27"/>
    </row>
    <row r="119" customFormat="false" ht="15" hidden="false" customHeight="true" outlineLevel="0" collapsed="false">
      <c r="A119" s="25"/>
      <c r="B119" s="26" t="str">
        <f aca="false">IF($A119="","",TEXT($A119,"ddd"))</f>
        <v/>
      </c>
      <c r="C119" s="27"/>
      <c r="D119" s="27"/>
      <c r="E119" s="27"/>
      <c r="F119" s="27"/>
      <c r="G119" s="27"/>
      <c r="H119" s="27"/>
      <c r="I119" s="27"/>
      <c r="J119" s="27"/>
      <c r="K119" s="28" t="str">
        <f aca="false">IF(OR($I119="",$J119=""),"",IFERROR($J119/$I119,""))</f>
        <v/>
      </c>
      <c r="L119" s="27"/>
      <c r="M119" s="27"/>
      <c r="N119" s="28" t="str">
        <f aca="false">IF(OR($L119="",$M119=""),"",IFERROR($L119/$M119,""))</f>
        <v/>
      </c>
      <c r="O119" s="27"/>
      <c r="P119" s="27"/>
      <c r="Q119" s="27"/>
      <c r="R119" s="27"/>
      <c r="S119" s="27"/>
      <c r="T119" s="26" t="str">
        <f aca="false">IF($K119="","",IF($K119&gt;=0.25,"WIN",IF($K119&gt;=0.2,"OK","FAIL")))</f>
        <v/>
      </c>
      <c r="U119" s="26" t="str">
        <f aca="false">IF($K119="","",IF($K119&lt;0.2,"REPOST WITH HOOK B",IF($K119&gt;=0.25,"Bank hook in PLAYBOOK","Hold - watch next run")))</f>
        <v/>
      </c>
      <c r="V119" s="27"/>
    </row>
    <row r="120" customFormat="false" ht="15" hidden="false" customHeight="true" outlineLevel="0" collapsed="false">
      <c r="A120" s="25"/>
      <c r="B120" s="26" t="str">
        <f aca="false">IF($A120="","",TEXT($A120,"ddd"))</f>
        <v/>
      </c>
      <c r="C120" s="27"/>
      <c r="D120" s="27"/>
      <c r="E120" s="27"/>
      <c r="F120" s="27"/>
      <c r="G120" s="27"/>
      <c r="H120" s="27"/>
      <c r="I120" s="27"/>
      <c r="J120" s="27"/>
      <c r="K120" s="28" t="str">
        <f aca="false">IF(OR($I120="",$J120=""),"",IFERROR($J120/$I120,""))</f>
        <v/>
      </c>
      <c r="L120" s="27"/>
      <c r="M120" s="27"/>
      <c r="N120" s="28" t="str">
        <f aca="false">IF(OR($L120="",$M120=""),"",IFERROR($L120/$M120,""))</f>
        <v/>
      </c>
      <c r="O120" s="27"/>
      <c r="P120" s="27"/>
      <c r="Q120" s="27"/>
      <c r="R120" s="27"/>
      <c r="S120" s="27"/>
      <c r="T120" s="26" t="str">
        <f aca="false">IF($K120="","",IF($K120&gt;=0.25,"WIN",IF($K120&gt;=0.2,"OK","FAIL")))</f>
        <v/>
      </c>
      <c r="U120" s="26" t="str">
        <f aca="false">IF($K120="","",IF($K120&lt;0.2,"REPOST WITH HOOK B",IF($K120&gt;=0.25,"Bank hook in PLAYBOOK","Hold - watch next run")))</f>
        <v/>
      </c>
      <c r="V120" s="27"/>
    </row>
    <row r="121" customFormat="false" ht="15" hidden="false" customHeight="true" outlineLevel="0" collapsed="false">
      <c r="A121" s="25"/>
      <c r="B121" s="26" t="str">
        <f aca="false">IF($A121="","",TEXT($A121,"ddd"))</f>
        <v/>
      </c>
      <c r="C121" s="27"/>
      <c r="D121" s="27"/>
      <c r="E121" s="27"/>
      <c r="F121" s="27"/>
      <c r="G121" s="27"/>
      <c r="H121" s="27"/>
      <c r="I121" s="27"/>
      <c r="J121" s="27"/>
      <c r="K121" s="28" t="str">
        <f aca="false">IF(OR($I121="",$J121=""),"",IFERROR($J121/$I121,""))</f>
        <v/>
      </c>
      <c r="L121" s="27"/>
      <c r="M121" s="27"/>
      <c r="N121" s="28" t="str">
        <f aca="false">IF(OR($L121="",$M121=""),"",IFERROR($L121/$M121,""))</f>
        <v/>
      </c>
      <c r="O121" s="27"/>
      <c r="P121" s="27"/>
      <c r="Q121" s="27"/>
      <c r="R121" s="27"/>
      <c r="S121" s="27"/>
      <c r="T121" s="26" t="str">
        <f aca="false">IF($K121="","",IF($K121&gt;=0.25,"WIN",IF($K121&gt;=0.2,"OK","FAIL")))</f>
        <v/>
      </c>
      <c r="U121" s="26" t="str">
        <f aca="false">IF($K121="","",IF($K121&lt;0.2,"REPOST WITH HOOK B",IF($K121&gt;=0.25,"Bank hook in PLAYBOOK","Hold - watch next run")))</f>
        <v/>
      </c>
      <c r="V121" s="27"/>
    </row>
    <row r="122" customFormat="false" ht="15" hidden="false" customHeight="true" outlineLevel="0" collapsed="false">
      <c r="A122" s="25"/>
      <c r="B122" s="26" t="str">
        <f aca="false">IF($A122="","",TEXT($A122,"ddd"))</f>
        <v/>
      </c>
      <c r="C122" s="27"/>
      <c r="D122" s="27"/>
      <c r="E122" s="27"/>
      <c r="F122" s="27"/>
      <c r="G122" s="27"/>
      <c r="H122" s="27"/>
      <c r="I122" s="27"/>
      <c r="J122" s="27"/>
      <c r="K122" s="28" t="str">
        <f aca="false">IF(OR($I122="",$J122=""),"",IFERROR($J122/$I122,""))</f>
        <v/>
      </c>
      <c r="L122" s="27"/>
      <c r="M122" s="27"/>
      <c r="N122" s="28" t="str">
        <f aca="false">IF(OR($L122="",$M122=""),"",IFERROR($L122/$M122,""))</f>
        <v/>
      </c>
      <c r="O122" s="27"/>
      <c r="P122" s="27"/>
      <c r="Q122" s="27"/>
      <c r="R122" s="27"/>
      <c r="S122" s="27"/>
      <c r="T122" s="26" t="str">
        <f aca="false">IF($K122="","",IF($K122&gt;=0.25,"WIN",IF($K122&gt;=0.2,"OK","FAIL")))</f>
        <v/>
      </c>
      <c r="U122" s="26" t="str">
        <f aca="false">IF($K122="","",IF($K122&lt;0.2,"REPOST WITH HOOK B",IF($K122&gt;=0.25,"Bank hook in PLAYBOOK","Hold - watch next run")))</f>
        <v/>
      </c>
      <c r="V122" s="27"/>
    </row>
    <row r="123" customFormat="false" ht="15" hidden="false" customHeight="true" outlineLevel="0" collapsed="false">
      <c r="A123" s="25"/>
      <c r="B123" s="26" t="str">
        <f aca="false">IF($A123="","",TEXT($A123,"ddd"))</f>
        <v/>
      </c>
      <c r="C123" s="27"/>
      <c r="D123" s="27"/>
      <c r="E123" s="27"/>
      <c r="F123" s="27"/>
      <c r="G123" s="27"/>
      <c r="H123" s="27"/>
      <c r="I123" s="27"/>
      <c r="J123" s="27"/>
      <c r="K123" s="28" t="str">
        <f aca="false">IF(OR($I123="",$J123=""),"",IFERROR($J123/$I123,""))</f>
        <v/>
      </c>
      <c r="L123" s="27"/>
      <c r="M123" s="27"/>
      <c r="N123" s="28" t="str">
        <f aca="false">IF(OR($L123="",$M123=""),"",IFERROR($L123/$M123,""))</f>
        <v/>
      </c>
      <c r="O123" s="27"/>
      <c r="P123" s="27"/>
      <c r="Q123" s="27"/>
      <c r="R123" s="27"/>
      <c r="S123" s="27"/>
      <c r="T123" s="26" t="str">
        <f aca="false">IF($K123="","",IF($K123&gt;=0.25,"WIN",IF($K123&gt;=0.2,"OK","FAIL")))</f>
        <v/>
      </c>
      <c r="U123" s="26" t="str">
        <f aca="false">IF($K123="","",IF($K123&lt;0.2,"REPOST WITH HOOK B",IF($K123&gt;=0.25,"Bank hook in PLAYBOOK","Hold - watch next run")))</f>
        <v/>
      </c>
      <c r="V123" s="27"/>
    </row>
    <row r="124" customFormat="false" ht="15" hidden="false" customHeight="true" outlineLevel="0" collapsed="false">
      <c r="A124" s="25"/>
      <c r="B124" s="26" t="str">
        <f aca="false">IF($A124="","",TEXT($A124,"ddd"))</f>
        <v/>
      </c>
      <c r="C124" s="27"/>
      <c r="D124" s="27"/>
      <c r="E124" s="27"/>
      <c r="F124" s="27"/>
      <c r="G124" s="27"/>
      <c r="H124" s="27"/>
      <c r="I124" s="27"/>
      <c r="J124" s="27"/>
      <c r="K124" s="28" t="str">
        <f aca="false">IF(OR($I124="",$J124=""),"",IFERROR($J124/$I124,""))</f>
        <v/>
      </c>
      <c r="L124" s="27"/>
      <c r="M124" s="27"/>
      <c r="N124" s="28" t="str">
        <f aca="false">IF(OR($L124="",$M124=""),"",IFERROR($L124/$M124,""))</f>
        <v/>
      </c>
      <c r="O124" s="27"/>
      <c r="P124" s="27"/>
      <c r="Q124" s="27"/>
      <c r="R124" s="27"/>
      <c r="S124" s="27"/>
      <c r="T124" s="26" t="str">
        <f aca="false">IF($K124="","",IF($K124&gt;=0.25,"WIN",IF($K124&gt;=0.2,"OK","FAIL")))</f>
        <v/>
      </c>
      <c r="U124" s="26" t="str">
        <f aca="false">IF($K124="","",IF($K124&lt;0.2,"REPOST WITH HOOK B",IF($K124&gt;=0.25,"Bank hook in PLAYBOOK","Hold - watch next run")))</f>
        <v/>
      </c>
      <c r="V124" s="27"/>
    </row>
    <row r="125" customFormat="false" ht="15" hidden="false" customHeight="true" outlineLevel="0" collapsed="false">
      <c r="A125" s="25"/>
      <c r="B125" s="26" t="str">
        <f aca="false">IF($A125="","",TEXT($A125,"ddd"))</f>
        <v/>
      </c>
      <c r="C125" s="27"/>
      <c r="D125" s="27"/>
      <c r="E125" s="27"/>
      <c r="F125" s="27"/>
      <c r="G125" s="27"/>
      <c r="H125" s="27"/>
      <c r="I125" s="27"/>
      <c r="J125" s="27"/>
      <c r="K125" s="28" t="str">
        <f aca="false">IF(OR($I125="",$J125=""),"",IFERROR($J125/$I125,""))</f>
        <v/>
      </c>
      <c r="L125" s="27"/>
      <c r="M125" s="27"/>
      <c r="N125" s="28" t="str">
        <f aca="false">IF(OR($L125="",$M125=""),"",IFERROR($L125/$M125,""))</f>
        <v/>
      </c>
      <c r="O125" s="27"/>
      <c r="P125" s="27"/>
      <c r="Q125" s="27"/>
      <c r="R125" s="27"/>
      <c r="S125" s="27"/>
      <c r="T125" s="26" t="str">
        <f aca="false">IF($K125="","",IF($K125&gt;=0.25,"WIN",IF($K125&gt;=0.2,"OK","FAIL")))</f>
        <v/>
      </c>
      <c r="U125" s="26" t="str">
        <f aca="false">IF($K125="","",IF($K125&lt;0.2,"REPOST WITH HOOK B",IF($K125&gt;=0.25,"Bank hook in PLAYBOOK","Hold - watch next run")))</f>
        <v/>
      </c>
      <c r="V125" s="27"/>
    </row>
    <row r="126" customFormat="false" ht="15" hidden="false" customHeight="true" outlineLevel="0" collapsed="false">
      <c r="A126" s="25"/>
      <c r="B126" s="26" t="str">
        <f aca="false">IF($A126="","",TEXT($A126,"ddd"))</f>
        <v/>
      </c>
      <c r="C126" s="27"/>
      <c r="D126" s="27"/>
      <c r="E126" s="27"/>
      <c r="F126" s="27"/>
      <c r="G126" s="27"/>
      <c r="H126" s="27"/>
      <c r="I126" s="27"/>
      <c r="J126" s="27"/>
      <c r="K126" s="28" t="str">
        <f aca="false">IF(OR($I126="",$J126=""),"",IFERROR($J126/$I126,""))</f>
        <v/>
      </c>
      <c r="L126" s="27"/>
      <c r="M126" s="27"/>
      <c r="N126" s="28" t="str">
        <f aca="false">IF(OR($L126="",$M126=""),"",IFERROR($L126/$M126,""))</f>
        <v/>
      </c>
      <c r="O126" s="27"/>
      <c r="P126" s="27"/>
      <c r="Q126" s="27"/>
      <c r="R126" s="27"/>
      <c r="S126" s="27"/>
      <c r="T126" s="26" t="str">
        <f aca="false">IF($K126="","",IF($K126&gt;=0.25,"WIN",IF($K126&gt;=0.2,"OK","FAIL")))</f>
        <v/>
      </c>
      <c r="U126" s="26" t="str">
        <f aca="false">IF($K126="","",IF($K126&lt;0.2,"REPOST WITH HOOK B",IF($K126&gt;=0.25,"Bank hook in PLAYBOOK","Hold - watch next run")))</f>
        <v/>
      </c>
      <c r="V126" s="27"/>
    </row>
    <row r="127" customFormat="false" ht="15" hidden="false" customHeight="true" outlineLevel="0" collapsed="false">
      <c r="A127" s="25"/>
      <c r="B127" s="26" t="str">
        <f aca="false">IF($A127="","",TEXT($A127,"ddd"))</f>
        <v/>
      </c>
      <c r="C127" s="27"/>
      <c r="D127" s="27"/>
      <c r="E127" s="27"/>
      <c r="F127" s="27"/>
      <c r="G127" s="27"/>
      <c r="H127" s="27"/>
      <c r="I127" s="27"/>
      <c r="J127" s="27"/>
      <c r="K127" s="28" t="str">
        <f aca="false">IF(OR($I127="",$J127=""),"",IFERROR($J127/$I127,""))</f>
        <v/>
      </c>
      <c r="L127" s="27"/>
      <c r="M127" s="27"/>
      <c r="N127" s="28" t="str">
        <f aca="false">IF(OR($L127="",$M127=""),"",IFERROR($L127/$M127,""))</f>
        <v/>
      </c>
      <c r="O127" s="27"/>
      <c r="P127" s="27"/>
      <c r="Q127" s="27"/>
      <c r="R127" s="27"/>
      <c r="S127" s="27"/>
      <c r="T127" s="26" t="str">
        <f aca="false">IF($K127="","",IF($K127&gt;=0.25,"WIN",IF($K127&gt;=0.2,"OK","FAIL")))</f>
        <v/>
      </c>
      <c r="U127" s="26" t="str">
        <f aca="false">IF($K127="","",IF($K127&lt;0.2,"REPOST WITH HOOK B",IF($K127&gt;=0.25,"Bank hook in PLAYBOOK","Hold - watch next run")))</f>
        <v/>
      </c>
      <c r="V127" s="27"/>
    </row>
    <row r="128" customFormat="false" ht="15" hidden="false" customHeight="true" outlineLevel="0" collapsed="false">
      <c r="A128" s="25"/>
      <c r="B128" s="26" t="str">
        <f aca="false">IF($A128="","",TEXT($A128,"ddd"))</f>
        <v/>
      </c>
      <c r="C128" s="27"/>
      <c r="D128" s="27"/>
      <c r="E128" s="27"/>
      <c r="F128" s="27"/>
      <c r="G128" s="27"/>
      <c r="H128" s="27"/>
      <c r="I128" s="27"/>
      <c r="J128" s="27"/>
      <c r="K128" s="28" t="str">
        <f aca="false">IF(OR($I128="",$J128=""),"",IFERROR($J128/$I128,""))</f>
        <v/>
      </c>
      <c r="L128" s="27"/>
      <c r="M128" s="27"/>
      <c r="N128" s="28" t="str">
        <f aca="false">IF(OR($L128="",$M128=""),"",IFERROR($L128/$M128,""))</f>
        <v/>
      </c>
      <c r="O128" s="27"/>
      <c r="P128" s="27"/>
      <c r="Q128" s="27"/>
      <c r="R128" s="27"/>
      <c r="S128" s="27"/>
      <c r="T128" s="26" t="str">
        <f aca="false">IF($K128="","",IF($K128&gt;=0.25,"WIN",IF($K128&gt;=0.2,"OK","FAIL")))</f>
        <v/>
      </c>
      <c r="U128" s="26" t="str">
        <f aca="false">IF($K128="","",IF($K128&lt;0.2,"REPOST WITH HOOK B",IF($K128&gt;=0.25,"Bank hook in PLAYBOOK","Hold - watch next run")))</f>
        <v/>
      </c>
      <c r="V128" s="27"/>
    </row>
    <row r="129" customFormat="false" ht="15" hidden="false" customHeight="true" outlineLevel="0" collapsed="false">
      <c r="A129" s="25"/>
      <c r="B129" s="26" t="str">
        <f aca="false">IF($A129="","",TEXT($A129,"ddd"))</f>
        <v/>
      </c>
      <c r="C129" s="27"/>
      <c r="D129" s="27"/>
      <c r="E129" s="27"/>
      <c r="F129" s="27"/>
      <c r="G129" s="27"/>
      <c r="H129" s="27"/>
      <c r="I129" s="27"/>
      <c r="J129" s="27"/>
      <c r="K129" s="28" t="str">
        <f aca="false">IF(OR($I129="",$J129=""),"",IFERROR($J129/$I129,""))</f>
        <v/>
      </c>
      <c r="L129" s="27"/>
      <c r="M129" s="27"/>
      <c r="N129" s="28" t="str">
        <f aca="false">IF(OR($L129="",$M129=""),"",IFERROR($L129/$M129,""))</f>
        <v/>
      </c>
      <c r="O129" s="27"/>
      <c r="P129" s="27"/>
      <c r="Q129" s="27"/>
      <c r="R129" s="27"/>
      <c r="S129" s="27"/>
      <c r="T129" s="26" t="str">
        <f aca="false">IF($K129="","",IF($K129&gt;=0.25,"WIN",IF($K129&gt;=0.2,"OK","FAIL")))</f>
        <v/>
      </c>
      <c r="U129" s="26" t="str">
        <f aca="false">IF($K129="","",IF($K129&lt;0.2,"REPOST WITH HOOK B",IF($K129&gt;=0.25,"Bank hook in PLAYBOOK","Hold - watch next run")))</f>
        <v/>
      </c>
      <c r="V129" s="27"/>
    </row>
    <row r="130" customFormat="false" ht="15" hidden="false" customHeight="true" outlineLevel="0" collapsed="false">
      <c r="A130" s="25"/>
      <c r="B130" s="26" t="str">
        <f aca="false">IF($A130="","",TEXT($A130,"ddd"))</f>
        <v/>
      </c>
      <c r="C130" s="27"/>
      <c r="D130" s="27"/>
      <c r="E130" s="27"/>
      <c r="F130" s="27"/>
      <c r="G130" s="27"/>
      <c r="H130" s="27"/>
      <c r="I130" s="27"/>
      <c r="J130" s="27"/>
      <c r="K130" s="28" t="str">
        <f aca="false">IF(OR($I130="",$J130=""),"",IFERROR($J130/$I130,""))</f>
        <v/>
      </c>
      <c r="L130" s="27"/>
      <c r="M130" s="27"/>
      <c r="N130" s="28" t="str">
        <f aca="false">IF(OR($L130="",$M130=""),"",IFERROR($L130/$M130,""))</f>
        <v/>
      </c>
      <c r="O130" s="27"/>
      <c r="P130" s="27"/>
      <c r="Q130" s="27"/>
      <c r="R130" s="27"/>
      <c r="S130" s="27"/>
      <c r="T130" s="26" t="str">
        <f aca="false">IF($K130="","",IF($K130&gt;=0.25,"WIN",IF($K130&gt;=0.2,"OK","FAIL")))</f>
        <v/>
      </c>
      <c r="U130" s="26" t="str">
        <f aca="false">IF($K130="","",IF($K130&lt;0.2,"REPOST WITH HOOK B",IF($K130&gt;=0.25,"Bank hook in PLAYBOOK","Hold - watch next run")))</f>
        <v/>
      </c>
      <c r="V130" s="27"/>
    </row>
    <row r="131" customFormat="false" ht="15" hidden="false" customHeight="true" outlineLevel="0" collapsed="false">
      <c r="A131" s="25"/>
      <c r="B131" s="26" t="str">
        <f aca="false">IF($A131="","",TEXT($A131,"ddd"))</f>
        <v/>
      </c>
      <c r="C131" s="27"/>
      <c r="D131" s="27"/>
      <c r="E131" s="27"/>
      <c r="F131" s="27"/>
      <c r="G131" s="27"/>
      <c r="H131" s="27"/>
      <c r="I131" s="27"/>
      <c r="J131" s="27"/>
      <c r="K131" s="28" t="str">
        <f aca="false">IF(OR($I131="",$J131=""),"",IFERROR($J131/$I131,""))</f>
        <v/>
      </c>
      <c r="L131" s="27"/>
      <c r="M131" s="27"/>
      <c r="N131" s="28" t="str">
        <f aca="false">IF(OR($L131="",$M131=""),"",IFERROR($L131/$M131,""))</f>
        <v/>
      </c>
      <c r="O131" s="27"/>
      <c r="P131" s="27"/>
      <c r="Q131" s="27"/>
      <c r="R131" s="27"/>
      <c r="S131" s="27"/>
      <c r="T131" s="26" t="str">
        <f aca="false">IF($K131="","",IF($K131&gt;=0.25,"WIN",IF($K131&gt;=0.2,"OK","FAIL")))</f>
        <v/>
      </c>
      <c r="U131" s="26" t="str">
        <f aca="false">IF($K131="","",IF($K131&lt;0.2,"REPOST WITH HOOK B",IF($K131&gt;=0.25,"Bank hook in PLAYBOOK","Hold - watch next run")))</f>
        <v/>
      </c>
      <c r="V131" s="27"/>
    </row>
    <row r="132" customFormat="false" ht="15" hidden="false" customHeight="true" outlineLevel="0" collapsed="false">
      <c r="A132" s="25"/>
      <c r="B132" s="26" t="str">
        <f aca="false">IF($A132="","",TEXT($A132,"ddd"))</f>
        <v/>
      </c>
      <c r="C132" s="27"/>
      <c r="D132" s="27"/>
      <c r="E132" s="27"/>
      <c r="F132" s="27"/>
      <c r="G132" s="27"/>
      <c r="H132" s="27"/>
      <c r="I132" s="27"/>
      <c r="J132" s="27"/>
      <c r="K132" s="28" t="str">
        <f aca="false">IF(OR($I132="",$J132=""),"",IFERROR($J132/$I132,""))</f>
        <v/>
      </c>
      <c r="L132" s="27"/>
      <c r="M132" s="27"/>
      <c r="N132" s="28" t="str">
        <f aca="false">IF(OR($L132="",$M132=""),"",IFERROR($L132/$M132,""))</f>
        <v/>
      </c>
      <c r="O132" s="27"/>
      <c r="P132" s="27"/>
      <c r="Q132" s="27"/>
      <c r="R132" s="27"/>
      <c r="S132" s="27"/>
      <c r="T132" s="26" t="str">
        <f aca="false">IF($K132="","",IF($K132&gt;=0.25,"WIN",IF($K132&gt;=0.2,"OK","FAIL")))</f>
        <v/>
      </c>
      <c r="U132" s="26" t="str">
        <f aca="false">IF($K132="","",IF($K132&lt;0.2,"REPOST WITH HOOK B",IF($K132&gt;=0.25,"Bank hook in PLAYBOOK","Hold - watch next run")))</f>
        <v/>
      </c>
      <c r="V132" s="27"/>
    </row>
    <row r="133" customFormat="false" ht="15" hidden="false" customHeight="true" outlineLevel="0" collapsed="false">
      <c r="A133" s="25"/>
      <c r="B133" s="26" t="str">
        <f aca="false">IF($A133="","",TEXT($A133,"ddd"))</f>
        <v/>
      </c>
      <c r="C133" s="27"/>
      <c r="D133" s="27"/>
      <c r="E133" s="27"/>
      <c r="F133" s="27"/>
      <c r="G133" s="27"/>
      <c r="H133" s="27"/>
      <c r="I133" s="27"/>
      <c r="J133" s="27"/>
      <c r="K133" s="28" t="str">
        <f aca="false">IF(OR($I133="",$J133=""),"",IFERROR($J133/$I133,""))</f>
        <v/>
      </c>
      <c r="L133" s="27"/>
      <c r="M133" s="27"/>
      <c r="N133" s="28" t="str">
        <f aca="false">IF(OR($L133="",$M133=""),"",IFERROR($L133/$M133,""))</f>
        <v/>
      </c>
      <c r="O133" s="27"/>
      <c r="P133" s="27"/>
      <c r="Q133" s="27"/>
      <c r="R133" s="27"/>
      <c r="S133" s="27"/>
      <c r="T133" s="26" t="str">
        <f aca="false">IF($K133="","",IF($K133&gt;=0.25,"WIN",IF($K133&gt;=0.2,"OK","FAIL")))</f>
        <v/>
      </c>
      <c r="U133" s="26" t="str">
        <f aca="false">IF($K133="","",IF($K133&lt;0.2,"REPOST WITH HOOK B",IF($K133&gt;=0.25,"Bank hook in PLAYBOOK","Hold - watch next run")))</f>
        <v/>
      </c>
      <c r="V133" s="27"/>
    </row>
    <row r="134" customFormat="false" ht="15" hidden="false" customHeight="true" outlineLevel="0" collapsed="false">
      <c r="A134" s="25"/>
      <c r="B134" s="26" t="str">
        <f aca="false">IF($A134="","",TEXT($A134,"ddd"))</f>
        <v/>
      </c>
      <c r="C134" s="27"/>
      <c r="D134" s="27"/>
      <c r="E134" s="27"/>
      <c r="F134" s="27"/>
      <c r="G134" s="27"/>
      <c r="H134" s="27"/>
      <c r="I134" s="27"/>
      <c r="J134" s="27"/>
      <c r="K134" s="28" t="str">
        <f aca="false">IF(OR($I134="",$J134=""),"",IFERROR($J134/$I134,""))</f>
        <v/>
      </c>
      <c r="L134" s="27"/>
      <c r="M134" s="27"/>
      <c r="N134" s="28" t="str">
        <f aca="false">IF(OR($L134="",$M134=""),"",IFERROR($L134/$M134,""))</f>
        <v/>
      </c>
      <c r="O134" s="27"/>
      <c r="P134" s="27"/>
      <c r="Q134" s="27"/>
      <c r="R134" s="27"/>
      <c r="S134" s="27"/>
      <c r="T134" s="26" t="str">
        <f aca="false">IF($K134="","",IF($K134&gt;=0.25,"WIN",IF($K134&gt;=0.2,"OK","FAIL")))</f>
        <v/>
      </c>
      <c r="U134" s="26" t="str">
        <f aca="false">IF($K134="","",IF($K134&lt;0.2,"REPOST WITH HOOK B",IF($K134&gt;=0.25,"Bank hook in PLAYBOOK","Hold - watch next run")))</f>
        <v/>
      </c>
      <c r="V134" s="27"/>
    </row>
    <row r="135" customFormat="false" ht="15" hidden="false" customHeight="true" outlineLevel="0" collapsed="false">
      <c r="A135" s="25"/>
      <c r="B135" s="26" t="str">
        <f aca="false">IF($A135="","",TEXT($A135,"ddd"))</f>
        <v/>
      </c>
      <c r="C135" s="27"/>
      <c r="D135" s="27"/>
      <c r="E135" s="27"/>
      <c r="F135" s="27"/>
      <c r="G135" s="27"/>
      <c r="H135" s="27"/>
      <c r="I135" s="27"/>
      <c r="J135" s="27"/>
      <c r="K135" s="28" t="str">
        <f aca="false">IF(OR($I135="",$J135=""),"",IFERROR($J135/$I135,""))</f>
        <v/>
      </c>
      <c r="L135" s="27"/>
      <c r="M135" s="27"/>
      <c r="N135" s="28" t="str">
        <f aca="false">IF(OR($L135="",$M135=""),"",IFERROR($L135/$M135,""))</f>
        <v/>
      </c>
      <c r="O135" s="27"/>
      <c r="P135" s="27"/>
      <c r="Q135" s="27"/>
      <c r="R135" s="27"/>
      <c r="S135" s="27"/>
      <c r="T135" s="26" t="str">
        <f aca="false">IF($K135="","",IF($K135&gt;=0.25,"WIN",IF($K135&gt;=0.2,"OK","FAIL")))</f>
        <v/>
      </c>
      <c r="U135" s="26" t="str">
        <f aca="false">IF($K135="","",IF($K135&lt;0.2,"REPOST WITH HOOK B",IF($K135&gt;=0.25,"Bank hook in PLAYBOOK","Hold - watch next run")))</f>
        <v/>
      </c>
      <c r="V135" s="27"/>
    </row>
    <row r="136" customFormat="false" ht="15" hidden="false" customHeight="true" outlineLevel="0" collapsed="false">
      <c r="A136" s="25"/>
      <c r="B136" s="26" t="str">
        <f aca="false">IF($A136="","",TEXT($A136,"ddd"))</f>
        <v/>
      </c>
      <c r="C136" s="27"/>
      <c r="D136" s="27"/>
      <c r="E136" s="27"/>
      <c r="F136" s="27"/>
      <c r="G136" s="27"/>
      <c r="H136" s="27"/>
      <c r="I136" s="27"/>
      <c r="J136" s="27"/>
      <c r="K136" s="28" t="str">
        <f aca="false">IF(OR($I136="",$J136=""),"",IFERROR($J136/$I136,""))</f>
        <v/>
      </c>
      <c r="L136" s="27"/>
      <c r="M136" s="27"/>
      <c r="N136" s="28" t="str">
        <f aca="false">IF(OR($L136="",$M136=""),"",IFERROR($L136/$M136,""))</f>
        <v/>
      </c>
      <c r="O136" s="27"/>
      <c r="P136" s="27"/>
      <c r="Q136" s="27"/>
      <c r="R136" s="27"/>
      <c r="S136" s="27"/>
      <c r="T136" s="26" t="str">
        <f aca="false">IF($K136="","",IF($K136&gt;=0.25,"WIN",IF($K136&gt;=0.2,"OK","FAIL")))</f>
        <v/>
      </c>
      <c r="U136" s="26" t="str">
        <f aca="false">IF($K136="","",IF($K136&lt;0.2,"REPOST WITH HOOK B",IF($K136&gt;=0.25,"Bank hook in PLAYBOOK","Hold - watch next run")))</f>
        <v/>
      </c>
      <c r="V136" s="27"/>
    </row>
    <row r="137" customFormat="false" ht="15" hidden="false" customHeight="true" outlineLevel="0" collapsed="false">
      <c r="A137" s="25"/>
      <c r="B137" s="26" t="str">
        <f aca="false">IF($A137="","",TEXT($A137,"ddd"))</f>
        <v/>
      </c>
      <c r="C137" s="27"/>
      <c r="D137" s="27"/>
      <c r="E137" s="27"/>
      <c r="F137" s="27"/>
      <c r="G137" s="27"/>
      <c r="H137" s="27"/>
      <c r="I137" s="27"/>
      <c r="J137" s="27"/>
      <c r="K137" s="28" t="str">
        <f aca="false">IF(OR($I137="",$J137=""),"",IFERROR($J137/$I137,""))</f>
        <v/>
      </c>
      <c r="L137" s="27"/>
      <c r="M137" s="27"/>
      <c r="N137" s="28" t="str">
        <f aca="false">IF(OR($L137="",$M137=""),"",IFERROR($L137/$M137,""))</f>
        <v/>
      </c>
      <c r="O137" s="27"/>
      <c r="P137" s="27"/>
      <c r="Q137" s="27"/>
      <c r="R137" s="27"/>
      <c r="S137" s="27"/>
      <c r="T137" s="26" t="str">
        <f aca="false">IF($K137="","",IF($K137&gt;=0.25,"WIN",IF($K137&gt;=0.2,"OK","FAIL")))</f>
        <v/>
      </c>
      <c r="U137" s="26" t="str">
        <f aca="false">IF($K137="","",IF($K137&lt;0.2,"REPOST WITH HOOK B",IF($K137&gt;=0.25,"Bank hook in PLAYBOOK","Hold - watch next run")))</f>
        <v/>
      </c>
      <c r="V137" s="27"/>
    </row>
    <row r="138" customFormat="false" ht="15" hidden="false" customHeight="true" outlineLevel="0" collapsed="false">
      <c r="A138" s="25"/>
      <c r="B138" s="26" t="str">
        <f aca="false">IF($A138="","",TEXT($A138,"ddd"))</f>
        <v/>
      </c>
      <c r="C138" s="27"/>
      <c r="D138" s="27"/>
      <c r="E138" s="27"/>
      <c r="F138" s="27"/>
      <c r="G138" s="27"/>
      <c r="H138" s="27"/>
      <c r="I138" s="27"/>
      <c r="J138" s="27"/>
      <c r="K138" s="28" t="str">
        <f aca="false">IF(OR($I138="",$J138=""),"",IFERROR($J138/$I138,""))</f>
        <v/>
      </c>
      <c r="L138" s="27"/>
      <c r="M138" s="27"/>
      <c r="N138" s="28" t="str">
        <f aca="false">IF(OR($L138="",$M138=""),"",IFERROR($L138/$M138,""))</f>
        <v/>
      </c>
      <c r="O138" s="27"/>
      <c r="P138" s="27"/>
      <c r="Q138" s="27"/>
      <c r="R138" s="27"/>
      <c r="S138" s="27"/>
      <c r="T138" s="26" t="str">
        <f aca="false">IF($K138="","",IF($K138&gt;=0.25,"WIN",IF($K138&gt;=0.2,"OK","FAIL")))</f>
        <v/>
      </c>
      <c r="U138" s="26" t="str">
        <f aca="false">IF($K138="","",IF($K138&lt;0.2,"REPOST WITH HOOK B",IF($K138&gt;=0.25,"Bank hook in PLAYBOOK","Hold - watch next run")))</f>
        <v/>
      </c>
      <c r="V138" s="27"/>
    </row>
    <row r="139" customFormat="false" ht="15" hidden="false" customHeight="true" outlineLevel="0" collapsed="false">
      <c r="A139" s="25"/>
      <c r="B139" s="26" t="str">
        <f aca="false">IF($A139="","",TEXT($A139,"ddd"))</f>
        <v/>
      </c>
      <c r="C139" s="27"/>
      <c r="D139" s="27"/>
      <c r="E139" s="27"/>
      <c r="F139" s="27"/>
      <c r="G139" s="27"/>
      <c r="H139" s="27"/>
      <c r="I139" s="27"/>
      <c r="J139" s="27"/>
      <c r="K139" s="28" t="str">
        <f aca="false">IF(OR($I139="",$J139=""),"",IFERROR($J139/$I139,""))</f>
        <v/>
      </c>
      <c r="L139" s="27"/>
      <c r="M139" s="27"/>
      <c r="N139" s="28" t="str">
        <f aca="false">IF(OR($L139="",$M139=""),"",IFERROR($L139/$M139,""))</f>
        <v/>
      </c>
      <c r="O139" s="27"/>
      <c r="P139" s="27"/>
      <c r="Q139" s="27"/>
      <c r="R139" s="27"/>
      <c r="S139" s="27"/>
      <c r="T139" s="26" t="str">
        <f aca="false">IF($K139="","",IF($K139&gt;=0.25,"WIN",IF($K139&gt;=0.2,"OK","FAIL")))</f>
        <v/>
      </c>
      <c r="U139" s="26" t="str">
        <f aca="false">IF($K139="","",IF($K139&lt;0.2,"REPOST WITH HOOK B",IF($K139&gt;=0.25,"Bank hook in PLAYBOOK","Hold - watch next run")))</f>
        <v/>
      </c>
      <c r="V139" s="27"/>
    </row>
    <row r="140" customFormat="false" ht="15" hidden="false" customHeight="true" outlineLevel="0" collapsed="false">
      <c r="A140" s="25"/>
      <c r="B140" s="26" t="str">
        <f aca="false">IF($A140="","",TEXT($A140,"ddd"))</f>
        <v/>
      </c>
      <c r="C140" s="27"/>
      <c r="D140" s="27"/>
      <c r="E140" s="27"/>
      <c r="F140" s="27"/>
      <c r="G140" s="27"/>
      <c r="H140" s="27"/>
      <c r="I140" s="27"/>
      <c r="J140" s="27"/>
      <c r="K140" s="28" t="str">
        <f aca="false">IF(OR($I140="",$J140=""),"",IFERROR($J140/$I140,""))</f>
        <v/>
      </c>
      <c r="L140" s="27"/>
      <c r="M140" s="27"/>
      <c r="N140" s="28" t="str">
        <f aca="false">IF(OR($L140="",$M140=""),"",IFERROR($L140/$M140,""))</f>
        <v/>
      </c>
      <c r="O140" s="27"/>
      <c r="P140" s="27"/>
      <c r="Q140" s="27"/>
      <c r="R140" s="27"/>
      <c r="S140" s="27"/>
      <c r="T140" s="26" t="str">
        <f aca="false">IF($K140="","",IF($K140&gt;=0.25,"WIN",IF($K140&gt;=0.2,"OK","FAIL")))</f>
        <v/>
      </c>
      <c r="U140" s="26" t="str">
        <f aca="false">IF($K140="","",IF($K140&lt;0.2,"REPOST WITH HOOK B",IF($K140&gt;=0.25,"Bank hook in PLAYBOOK","Hold - watch next run")))</f>
        <v/>
      </c>
      <c r="V140" s="27"/>
    </row>
    <row r="141" customFormat="false" ht="15" hidden="false" customHeight="true" outlineLevel="0" collapsed="false">
      <c r="A141" s="25"/>
      <c r="B141" s="26" t="str">
        <f aca="false">IF($A141="","",TEXT($A141,"ddd"))</f>
        <v/>
      </c>
      <c r="C141" s="27"/>
      <c r="D141" s="27"/>
      <c r="E141" s="27"/>
      <c r="F141" s="27"/>
      <c r="G141" s="27"/>
      <c r="H141" s="27"/>
      <c r="I141" s="27"/>
      <c r="J141" s="27"/>
      <c r="K141" s="28" t="str">
        <f aca="false">IF(OR($I141="",$J141=""),"",IFERROR($J141/$I141,""))</f>
        <v/>
      </c>
      <c r="L141" s="27"/>
      <c r="M141" s="27"/>
      <c r="N141" s="28" t="str">
        <f aca="false">IF(OR($L141="",$M141=""),"",IFERROR($L141/$M141,""))</f>
        <v/>
      </c>
      <c r="O141" s="27"/>
      <c r="P141" s="27"/>
      <c r="Q141" s="27"/>
      <c r="R141" s="27"/>
      <c r="S141" s="27"/>
      <c r="T141" s="26" t="str">
        <f aca="false">IF($K141="","",IF($K141&gt;=0.25,"WIN",IF($K141&gt;=0.2,"OK","FAIL")))</f>
        <v/>
      </c>
      <c r="U141" s="26" t="str">
        <f aca="false">IF($K141="","",IF($K141&lt;0.2,"REPOST WITH HOOK B",IF($K141&gt;=0.25,"Bank hook in PLAYBOOK","Hold - watch next run")))</f>
        <v/>
      </c>
      <c r="V141" s="27"/>
    </row>
    <row r="142" customFormat="false" ht="15" hidden="false" customHeight="true" outlineLevel="0" collapsed="false">
      <c r="A142" s="25"/>
      <c r="B142" s="26" t="str">
        <f aca="false">IF($A142="","",TEXT($A142,"ddd"))</f>
        <v/>
      </c>
      <c r="C142" s="27"/>
      <c r="D142" s="27"/>
      <c r="E142" s="27"/>
      <c r="F142" s="27"/>
      <c r="G142" s="27"/>
      <c r="H142" s="27"/>
      <c r="I142" s="27"/>
      <c r="J142" s="27"/>
      <c r="K142" s="28" t="str">
        <f aca="false">IF(OR($I142="",$J142=""),"",IFERROR($J142/$I142,""))</f>
        <v/>
      </c>
      <c r="L142" s="27"/>
      <c r="M142" s="27"/>
      <c r="N142" s="28" t="str">
        <f aca="false">IF(OR($L142="",$M142=""),"",IFERROR($L142/$M142,""))</f>
        <v/>
      </c>
      <c r="O142" s="27"/>
      <c r="P142" s="27"/>
      <c r="Q142" s="27"/>
      <c r="R142" s="27"/>
      <c r="S142" s="27"/>
      <c r="T142" s="26" t="str">
        <f aca="false">IF($K142="","",IF($K142&gt;=0.25,"WIN",IF($K142&gt;=0.2,"OK","FAIL")))</f>
        <v/>
      </c>
      <c r="U142" s="26" t="str">
        <f aca="false">IF($K142="","",IF($K142&lt;0.2,"REPOST WITH HOOK B",IF($K142&gt;=0.25,"Bank hook in PLAYBOOK","Hold - watch next run")))</f>
        <v/>
      </c>
      <c r="V142" s="27"/>
    </row>
    <row r="143" customFormat="false" ht="15" hidden="false" customHeight="true" outlineLevel="0" collapsed="false">
      <c r="A143" s="25"/>
      <c r="B143" s="26" t="str">
        <f aca="false">IF($A143="","",TEXT($A143,"ddd"))</f>
        <v/>
      </c>
      <c r="C143" s="27"/>
      <c r="D143" s="27"/>
      <c r="E143" s="27"/>
      <c r="F143" s="27"/>
      <c r="G143" s="27"/>
      <c r="H143" s="27"/>
      <c r="I143" s="27"/>
      <c r="J143" s="27"/>
      <c r="K143" s="28" t="str">
        <f aca="false">IF(OR($I143="",$J143=""),"",IFERROR($J143/$I143,""))</f>
        <v/>
      </c>
      <c r="L143" s="27"/>
      <c r="M143" s="27"/>
      <c r="N143" s="28" t="str">
        <f aca="false">IF(OR($L143="",$M143=""),"",IFERROR($L143/$M143,""))</f>
        <v/>
      </c>
      <c r="O143" s="27"/>
      <c r="P143" s="27"/>
      <c r="Q143" s="27"/>
      <c r="R143" s="27"/>
      <c r="S143" s="27"/>
      <c r="T143" s="26" t="str">
        <f aca="false">IF($K143="","",IF($K143&gt;=0.25,"WIN",IF($K143&gt;=0.2,"OK","FAIL")))</f>
        <v/>
      </c>
      <c r="U143" s="26" t="str">
        <f aca="false">IF($K143="","",IF($K143&lt;0.2,"REPOST WITH HOOK B",IF($K143&gt;=0.25,"Bank hook in PLAYBOOK","Hold - watch next run")))</f>
        <v/>
      </c>
      <c r="V143" s="27"/>
    </row>
    <row r="144" customFormat="false" ht="15" hidden="false" customHeight="true" outlineLevel="0" collapsed="false">
      <c r="A144" s="25"/>
      <c r="B144" s="26" t="str">
        <f aca="false">IF($A144="","",TEXT($A144,"ddd"))</f>
        <v/>
      </c>
      <c r="C144" s="27"/>
      <c r="D144" s="27"/>
      <c r="E144" s="27"/>
      <c r="F144" s="27"/>
      <c r="G144" s="27"/>
      <c r="H144" s="27"/>
      <c r="I144" s="27"/>
      <c r="J144" s="27"/>
      <c r="K144" s="28" t="str">
        <f aca="false">IF(OR($I144="",$J144=""),"",IFERROR($J144/$I144,""))</f>
        <v/>
      </c>
      <c r="L144" s="27"/>
      <c r="M144" s="27"/>
      <c r="N144" s="28" t="str">
        <f aca="false">IF(OR($L144="",$M144=""),"",IFERROR($L144/$M144,""))</f>
        <v/>
      </c>
      <c r="O144" s="27"/>
      <c r="P144" s="27"/>
      <c r="Q144" s="27"/>
      <c r="R144" s="27"/>
      <c r="S144" s="27"/>
      <c r="T144" s="26" t="str">
        <f aca="false">IF($K144="","",IF($K144&gt;=0.25,"WIN",IF($K144&gt;=0.2,"OK","FAIL")))</f>
        <v/>
      </c>
      <c r="U144" s="26" t="str">
        <f aca="false">IF($K144="","",IF($K144&lt;0.2,"REPOST WITH HOOK B",IF($K144&gt;=0.25,"Bank hook in PLAYBOOK","Hold - watch next run")))</f>
        <v/>
      </c>
      <c r="V144" s="27"/>
    </row>
    <row r="145" customFormat="false" ht="15" hidden="false" customHeight="true" outlineLevel="0" collapsed="false">
      <c r="A145" s="25"/>
      <c r="B145" s="26" t="str">
        <f aca="false">IF($A145="","",TEXT($A145,"ddd"))</f>
        <v/>
      </c>
      <c r="C145" s="27"/>
      <c r="D145" s="27"/>
      <c r="E145" s="27"/>
      <c r="F145" s="27"/>
      <c r="G145" s="27"/>
      <c r="H145" s="27"/>
      <c r="I145" s="27"/>
      <c r="J145" s="27"/>
      <c r="K145" s="28" t="str">
        <f aca="false">IF(OR($I145="",$J145=""),"",IFERROR($J145/$I145,""))</f>
        <v/>
      </c>
      <c r="L145" s="27"/>
      <c r="M145" s="27"/>
      <c r="N145" s="28" t="str">
        <f aca="false">IF(OR($L145="",$M145=""),"",IFERROR($L145/$M145,""))</f>
        <v/>
      </c>
      <c r="O145" s="27"/>
      <c r="P145" s="27"/>
      <c r="Q145" s="27"/>
      <c r="R145" s="27"/>
      <c r="S145" s="27"/>
      <c r="T145" s="26" t="str">
        <f aca="false">IF($K145="","",IF($K145&gt;=0.25,"WIN",IF($K145&gt;=0.2,"OK","FAIL")))</f>
        <v/>
      </c>
      <c r="U145" s="26" t="str">
        <f aca="false">IF($K145="","",IF($K145&lt;0.2,"REPOST WITH HOOK B",IF($K145&gt;=0.25,"Bank hook in PLAYBOOK","Hold - watch next run")))</f>
        <v/>
      </c>
      <c r="V145" s="27"/>
    </row>
    <row r="146" customFormat="false" ht="15" hidden="false" customHeight="true" outlineLevel="0" collapsed="false">
      <c r="A146" s="25"/>
      <c r="B146" s="26" t="str">
        <f aca="false">IF($A146="","",TEXT($A146,"ddd"))</f>
        <v/>
      </c>
      <c r="C146" s="27"/>
      <c r="D146" s="27"/>
      <c r="E146" s="27"/>
      <c r="F146" s="27"/>
      <c r="G146" s="27"/>
      <c r="H146" s="27"/>
      <c r="I146" s="27"/>
      <c r="J146" s="27"/>
      <c r="K146" s="28" t="str">
        <f aca="false">IF(OR($I146="",$J146=""),"",IFERROR($J146/$I146,""))</f>
        <v/>
      </c>
      <c r="L146" s="27"/>
      <c r="M146" s="27"/>
      <c r="N146" s="28" t="str">
        <f aca="false">IF(OR($L146="",$M146=""),"",IFERROR($L146/$M146,""))</f>
        <v/>
      </c>
      <c r="O146" s="27"/>
      <c r="P146" s="27"/>
      <c r="Q146" s="27"/>
      <c r="R146" s="27"/>
      <c r="S146" s="27"/>
      <c r="T146" s="26" t="str">
        <f aca="false">IF($K146="","",IF($K146&gt;=0.25,"WIN",IF($K146&gt;=0.2,"OK","FAIL")))</f>
        <v/>
      </c>
      <c r="U146" s="26" t="str">
        <f aca="false">IF($K146="","",IF($K146&lt;0.2,"REPOST WITH HOOK B",IF($K146&gt;=0.25,"Bank hook in PLAYBOOK","Hold - watch next run")))</f>
        <v/>
      </c>
      <c r="V146" s="27"/>
    </row>
    <row r="147" customFormat="false" ht="15" hidden="false" customHeight="true" outlineLevel="0" collapsed="false">
      <c r="A147" s="25"/>
      <c r="B147" s="26" t="str">
        <f aca="false">IF($A147="","",TEXT($A147,"ddd"))</f>
        <v/>
      </c>
      <c r="C147" s="27"/>
      <c r="D147" s="27"/>
      <c r="E147" s="27"/>
      <c r="F147" s="27"/>
      <c r="G147" s="27"/>
      <c r="H147" s="27"/>
      <c r="I147" s="27"/>
      <c r="J147" s="27"/>
      <c r="K147" s="28" t="str">
        <f aca="false">IF(OR($I147="",$J147=""),"",IFERROR($J147/$I147,""))</f>
        <v/>
      </c>
      <c r="L147" s="27"/>
      <c r="M147" s="27"/>
      <c r="N147" s="28" t="str">
        <f aca="false">IF(OR($L147="",$M147=""),"",IFERROR($L147/$M147,""))</f>
        <v/>
      </c>
      <c r="O147" s="27"/>
      <c r="P147" s="27"/>
      <c r="Q147" s="27"/>
      <c r="R147" s="27"/>
      <c r="S147" s="27"/>
      <c r="T147" s="26" t="str">
        <f aca="false">IF($K147="","",IF($K147&gt;=0.25,"WIN",IF($K147&gt;=0.2,"OK","FAIL")))</f>
        <v/>
      </c>
      <c r="U147" s="26" t="str">
        <f aca="false">IF($K147="","",IF($K147&lt;0.2,"REPOST WITH HOOK B",IF($K147&gt;=0.25,"Bank hook in PLAYBOOK","Hold - watch next run")))</f>
        <v/>
      </c>
      <c r="V147" s="27"/>
    </row>
    <row r="148" customFormat="false" ht="15" hidden="false" customHeight="true" outlineLevel="0" collapsed="false">
      <c r="A148" s="25"/>
      <c r="B148" s="26" t="str">
        <f aca="false">IF($A148="","",TEXT($A148,"ddd"))</f>
        <v/>
      </c>
      <c r="C148" s="27"/>
      <c r="D148" s="27"/>
      <c r="E148" s="27"/>
      <c r="F148" s="27"/>
      <c r="G148" s="27"/>
      <c r="H148" s="27"/>
      <c r="I148" s="27"/>
      <c r="J148" s="27"/>
      <c r="K148" s="28" t="str">
        <f aca="false">IF(OR($I148="",$J148=""),"",IFERROR($J148/$I148,""))</f>
        <v/>
      </c>
      <c r="L148" s="27"/>
      <c r="M148" s="27"/>
      <c r="N148" s="28" t="str">
        <f aca="false">IF(OR($L148="",$M148=""),"",IFERROR($L148/$M148,""))</f>
        <v/>
      </c>
      <c r="O148" s="27"/>
      <c r="P148" s="27"/>
      <c r="Q148" s="27"/>
      <c r="R148" s="27"/>
      <c r="S148" s="27"/>
      <c r="T148" s="26" t="str">
        <f aca="false">IF($K148="","",IF($K148&gt;=0.25,"WIN",IF($K148&gt;=0.2,"OK","FAIL")))</f>
        <v/>
      </c>
      <c r="U148" s="26" t="str">
        <f aca="false">IF($K148="","",IF($K148&lt;0.2,"REPOST WITH HOOK B",IF($K148&gt;=0.25,"Bank hook in PLAYBOOK","Hold - watch next run")))</f>
        <v/>
      </c>
      <c r="V148" s="27"/>
    </row>
    <row r="149" customFormat="false" ht="15" hidden="false" customHeight="true" outlineLevel="0" collapsed="false">
      <c r="A149" s="25"/>
      <c r="B149" s="26" t="str">
        <f aca="false">IF($A149="","",TEXT($A149,"ddd"))</f>
        <v/>
      </c>
      <c r="C149" s="27"/>
      <c r="D149" s="27"/>
      <c r="E149" s="27"/>
      <c r="F149" s="27"/>
      <c r="G149" s="27"/>
      <c r="H149" s="27"/>
      <c r="I149" s="27"/>
      <c r="J149" s="27"/>
      <c r="K149" s="28" t="str">
        <f aca="false">IF(OR($I149="",$J149=""),"",IFERROR($J149/$I149,""))</f>
        <v/>
      </c>
      <c r="L149" s="27"/>
      <c r="M149" s="27"/>
      <c r="N149" s="28" t="str">
        <f aca="false">IF(OR($L149="",$M149=""),"",IFERROR($L149/$M149,""))</f>
        <v/>
      </c>
      <c r="O149" s="27"/>
      <c r="P149" s="27"/>
      <c r="Q149" s="27"/>
      <c r="R149" s="27"/>
      <c r="S149" s="27"/>
      <c r="T149" s="26" t="str">
        <f aca="false">IF($K149="","",IF($K149&gt;=0.25,"WIN",IF($K149&gt;=0.2,"OK","FAIL")))</f>
        <v/>
      </c>
      <c r="U149" s="26" t="str">
        <f aca="false">IF($K149="","",IF($K149&lt;0.2,"REPOST WITH HOOK B",IF($K149&gt;=0.25,"Bank hook in PLAYBOOK","Hold - watch next run")))</f>
        <v/>
      </c>
      <c r="V149" s="27"/>
    </row>
    <row r="150" customFormat="false" ht="15" hidden="false" customHeight="true" outlineLevel="0" collapsed="false">
      <c r="A150" s="25"/>
      <c r="B150" s="26" t="str">
        <f aca="false">IF($A150="","",TEXT($A150,"ddd"))</f>
        <v/>
      </c>
      <c r="C150" s="27"/>
      <c r="D150" s="27"/>
      <c r="E150" s="27"/>
      <c r="F150" s="27"/>
      <c r="G150" s="27"/>
      <c r="H150" s="27"/>
      <c r="I150" s="27"/>
      <c r="J150" s="27"/>
      <c r="K150" s="28" t="str">
        <f aca="false">IF(OR($I150="",$J150=""),"",IFERROR($J150/$I150,""))</f>
        <v/>
      </c>
      <c r="L150" s="27"/>
      <c r="M150" s="27"/>
      <c r="N150" s="28" t="str">
        <f aca="false">IF(OR($L150="",$M150=""),"",IFERROR($L150/$M150,""))</f>
        <v/>
      </c>
      <c r="O150" s="27"/>
      <c r="P150" s="27"/>
      <c r="Q150" s="27"/>
      <c r="R150" s="27"/>
      <c r="S150" s="27"/>
      <c r="T150" s="26" t="str">
        <f aca="false">IF($K150="","",IF($K150&gt;=0.25,"WIN",IF($K150&gt;=0.2,"OK","FAIL")))</f>
        <v/>
      </c>
      <c r="U150" s="26" t="str">
        <f aca="false">IF($K150="","",IF($K150&lt;0.2,"REPOST WITH HOOK B",IF($K150&gt;=0.25,"Bank hook in PLAYBOOK","Hold - watch next run")))</f>
        <v/>
      </c>
      <c r="V150" s="27"/>
    </row>
    <row r="151" customFormat="false" ht="15" hidden="false" customHeight="true" outlineLevel="0" collapsed="false">
      <c r="A151" s="25"/>
      <c r="B151" s="26" t="str">
        <f aca="false">IF($A151="","",TEXT($A151,"ddd"))</f>
        <v/>
      </c>
      <c r="C151" s="27"/>
      <c r="D151" s="27"/>
      <c r="E151" s="27"/>
      <c r="F151" s="27"/>
      <c r="G151" s="27"/>
      <c r="H151" s="27"/>
      <c r="I151" s="27"/>
      <c r="J151" s="27"/>
      <c r="K151" s="28" t="str">
        <f aca="false">IF(OR($I151="",$J151=""),"",IFERROR($J151/$I151,""))</f>
        <v/>
      </c>
      <c r="L151" s="27"/>
      <c r="M151" s="27"/>
      <c r="N151" s="28" t="str">
        <f aca="false">IF(OR($L151="",$M151=""),"",IFERROR($L151/$M151,""))</f>
        <v/>
      </c>
      <c r="O151" s="27"/>
      <c r="P151" s="27"/>
      <c r="Q151" s="27"/>
      <c r="R151" s="27"/>
      <c r="S151" s="27"/>
      <c r="T151" s="26" t="str">
        <f aca="false">IF($K151="","",IF($K151&gt;=0.25,"WIN",IF($K151&gt;=0.2,"OK","FAIL")))</f>
        <v/>
      </c>
      <c r="U151" s="26" t="str">
        <f aca="false">IF($K151="","",IF($K151&lt;0.2,"REPOST WITH HOOK B",IF($K151&gt;=0.25,"Bank hook in PLAYBOOK","Hold - watch next run")))</f>
        <v/>
      </c>
      <c r="V151" s="27"/>
    </row>
    <row r="152" customFormat="false" ht="15" hidden="false" customHeight="true" outlineLevel="0" collapsed="false">
      <c r="A152" s="25"/>
      <c r="B152" s="26" t="str">
        <f aca="false">IF($A152="","",TEXT($A152,"ddd"))</f>
        <v/>
      </c>
      <c r="C152" s="27"/>
      <c r="D152" s="27"/>
      <c r="E152" s="27"/>
      <c r="F152" s="27"/>
      <c r="G152" s="27"/>
      <c r="H152" s="27"/>
      <c r="I152" s="27"/>
      <c r="J152" s="27"/>
      <c r="K152" s="28" t="str">
        <f aca="false">IF(OR($I152="",$J152=""),"",IFERROR($J152/$I152,""))</f>
        <v/>
      </c>
      <c r="L152" s="27"/>
      <c r="M152" s="27"/>
      <c r="N152" s="28" t="str">
        <f aca="false">IF(OR($L152="",$M152=""),"",IFERROR($L152/$M152,""))</f>
        <v/>
      </c>
      <c r="O152" s="27"/>
      <c r="P152" s="27"/>
      <c r="Q152" s="27"/>
      <c r="R152" s="27"/>
      <c r="S152" s="27"/>
      <c r="T152" s="26" t="str">
        <f aca="false">IF($K152="","",IF($K152&gt;=0.25,"WIN",IF($K152&gt;=0.2,"OK","FAIL")))</f>
        <v/>
      </c>
      <c r="U152" s="26" t="str">
        <f aca="false">IF($K152="","",IF($K152&lt;0.2,"REPOST WITH HOOK B",IF($K152&gt;=0.25,"Bank hook in PLAYBOOK","Hold - watch next run")))</f>
        <v/>
      </c>
      <c r="V152" s="27"/>
    </row>
    <row r="153" customFormat="false" ht="15" hidden="false" customHeight="true" outlineLevel="0" collapsed="false">
      <c r="A153" s="25"/>
      <c r="B153" s="26" t="str">
        <f aca="false">IF($A153="","",TEXT($A153,"ddd"))</f>
        <v/>
      </c>
      <c r="C153" s="27"/>
      <c r="D153" s="27"/>
      <c r="E153" s="27"/>
      <c r="F153" s="27"/>
      <c r="G153" s="27"/>
      <c r="H153" s="27"/>
      <c r="I153" s="27"/>
      <c r="J153" s="27"/>
      <c r="K153" s="28" t="str">
        <f aca="false">IF(OR($I153="",$J153=""),"",IFERROR($J153/$I153,""))</f>
        <v/>
      </c>
      <c r="L153" s="27"/>
      <c r="M153" s="27"/>
      <c r="N153" s="28" t="str">
        <f aca="false">IF(OR($L153="",$M153=""),"",IFERROR($L153/$M153,""))</f>
        <v/>
      </c>
      <c r="O153" s="27"/>
      <c r="P153" s="27"/>
      <c r="Q153" s="27"/>
      <c r="R153" s="27"/>
      <c r="S153" s="27"/>
      <c r="T153" s="26" t="str">
        <f aca="false">IF($K153="","",IF($K153&gt;=0.25,"WIN",IF($K153&gt;=0.2,"OK","FAIL")))</f>
        <v/>
      </c>
      <c r="U153" s="26" t="str">
        <f aca="false">IF($K153="","",IF($K153&lt;0.2,"REPOST WITH HOOK B",IF($K153&gt;=0.25,"Bank hook in PLAYBOOK","Hold - watch next run")))</f>
        <v/>
      </c>
      <c r="V153" s="27"/>
    </row>
    <row r="154" customFormat="false" ht="15" hidden="false" customHeight="true" outlineLevel="0" collapsed="false">
      <c r="A154" s="25"/>
      <c r="B154" s="26" t="str">
        <f aca="false">IF($A154="","",TEXT($A154,"ddd"))</f>
        <v/>
      </c>
      <c r="C154" s="27"/>
      <c r="D154" s="27"/>
      <c r="E154" s="27"/>
      <c r="F154" s="27"/>
      <c r="G154" s="27"/>
      <c r="H154" s="27"/>
      <c r="I154" s="27"/>
      <c r="J154" s="27"/>
      <c r="K154" s="28" t="str">
        <f aca="false">IF(OR($I154="",$J154=""),"",IFERROR($J154/$I154,""))</f>
        <v/>
      </c>
      <c r="L154" s="27"/>
      <c r="M154" s="27"/>
      <c r="N154" s="28" t="str">
        <f aca="false">IF(OR($L154="",$M154=""),"",IFERROR($L154/$M154,""))</f>
        <v/>
      </c>
      <c r="O154" s="27"/>
      <c r="P154" s="27"/>
      <c r="Q154" s="27"/>
      <c r="R154" s="27"/>
      <c r="S154" s="27"/>
      <c r="T154" s="26" t="str">
        <f aca="false">IF($K154="","",IF($K154&gt;=0.25,"WIN",IF($K154&gt;=0.2,"OK","FAIL")))</f>
        <v/>
      </c>
      <c r="U154" s="26" t="str">
        <f aca="false">IF($K154="","",IF($K154&lt;0.2,"REPOST WITH HOOK B",IF($K154&gt;=0.25,"Bank hook in PLAYBOOK","Hold - watch next run")))</f>
        <v/>
      </c>
      <c r="V154" s="27"/>
    </row>
    <row r="155" customFormat="false" ht="15" hidden="false" customHeight="true" outlineLevel="0" collapsed="false">
      <c r="A155" s="25"/>
      <c r="B155" s="26" t="str">
        <f aca="false">IF($A155="","",TEXT($A155,"ddd"))</f>
        <v/>
      </c>
      <c r="C155" s="27"/>
      <c r="D155" s="27"/>
      <c r="E155" s="27"/>
      <c r="F155" s="27"/>
      <c r="G155" s="27"/>
      <c r="H155" s="27"/>
      <c r="I155" s="27"/>
      <c r="J155" s="27"/>
      <c r="K155" s="28" t="str">
        <f aca="false">IF(OR($I155="",$J155=""),"",IFERROR($J155/$I155,""))</f>
        <v/>
      </c>
      <c r="L155" s="27"/>
      <c r="M155" s="27"/>
      <c r="N155" s="28" t="str">
        <f aca="false">IF(OR($L155="",$M155=""),"",IFERROR($L155/$M155,""))</f>
        <v/>
      </c>
      <c r="O155" s="27"/>
      <c r="P155" s="27"/>
      <c r="Q155" s="27"/>
      <c r="R155" s="27"/>
      <c r="S155" s="27"/>
      <c r="T155" s="26" t="str">
        <f aca="false">IF($K155="","",IF($K155&gt;=0.25,"WIN",IF($K155&gt;=0.2,"OK","FAIL")))</f>
        <v/>
      </c>
      <c r="U155" s="26" t="str">
        <f aca="false">IF($K155="","",IF($K155&lt;0.2,"REPOST WITH HOOK B",IF($K155&gt;=0.25,"Bank hook in PLAYBOOK","Hold - watch next run")))</f>
        <v/>
      </c>
      <c r="V155" s="27"/>
    </row>
    <row r="156" customFormat="false" ht="15" hidden="false" customHeight="true" outlineLevel="0" collapsed="false">
      <c r="A156" s="25"/>
      <c r="B156" s="26" t="str">
        <f aca="false">IF($A156="","",TEXT($A156,"ddd"))</f>
        <v/>
      </c>
      <c r="C156" s="27"/>
      <c r="D156" s="27"/>
      <c r="E156" s="27"/>
      <c r="F156" s="27"/>
      <c r="G156" s="27"/>
      <c r="H156" s="27"/>
      <c r="I156" s="27"/>
      <c r="J156" s="27"/>
      <c r="K156" s="28" t="str">
        <f aca="false">IF(OR($I156="",$J156=""),"",IFERROR($J156/$I156,""))</f>
        <v/>
      </c>
      <c r="L156" s="27"/>
      <c r="M156" s="27"/>
      <c r="N156" s="28" t="str">
        <f aca="false">IF(OR($L156="",$M156=""),"",IFERROR($L156/$M156,""))</f>
        <v/>
      </c>
      <c r="O156" s="27"/>
      <c r="P156" s="27"/>
      <c r="Q156" s="27"/>
      <c r="R156" s="27"/>
      <c r="S156" s="27"/>
      <c r="T156" s="26" t="str">
        <f aca="false">IF($K156="","",IF($K156&gt;=0.25,"WIN",IF($K156&gt;=0.2,"OK","FAIL")))</f>
        <v/>
      </c>
      <c r="U156" s="26" t="str">
        <f aca="false">IF($K156="","",IF($K156&lt;0.2,"REPOST WITH HOOK B",IF($K156&gt;=0.25,"Bank hook in PLAYBOOK","Hold - watch next run")))</f>
        <v/>
      </c>
      <c r="V156" s="27"/>
    </row>
    <row r="157" customFormat="false" ht="15" hidden="false" customHeight="true" outlineLevel="0" collapsed="false">
      <c r="A157" s="25"/>
      <c r="B157" s="26" t="str">
        <f aca="false">IF($A157="","",TEXT($A157,"ddd"))</f>
        <v/>
      </c>
      <c r="C157" s="27"/>
      <c r="D157" s="27"/>
      <c r="E157" s="27"/>
      <c r="F157" s="27"/>
      <c r="G157" s="27"/>
      <c r="H157" s="27"/>
      <c r="I157" s="27"/>
      <c r="J157" s="27"/>
      <c r="K157" s="28" t="str">
        <f aca="false">IF(OR($I157="",$J157=""),"",IFERROR($J157/$I157,""))</f>
        <v/>
      </c>
      <c r="L157" s="27"/>
      <c r="M157" s="27"/>
      <c r="N157" s="28" t="str">
        <f aca="false">IF(OR($L157="",$M157=""),"",IFERROR($L157/$M157,""))</f>
        <v/>
      </c>
      <c r="O157" s="27"/>
      <c r="P157" s="27"/>
      <c r="Q157" s="27"/>
      <c r="R157" s="27"/>
      <c r="S157" s="27"/>
      <c r="T157" s="26" t="str">
        <f aca="false">IF($K157="","",IF($K157&gt;=0.25,"WIN",IF($K157&gt;=0.2,"OK","FAIL")))</f>
        <v/>
      </c>
      <c r="U157" s="26" t="str">
        <f aca="false">IF($K157="","",IF($K157&lt;0.2,"REPOST WITH HOOK B",IF($K157&gt;=0.25,"Bank hook in PLAYBOOK","Hold - watch next run")))</f>
        <v/>
      </c>
      <c r="V157" s="27"/>
    </row>
    <row r="158" customFormat="false" ht="15" hidden="false" customHeight="true" outlineLevel="0" collapsed="false">
      <c r="A158" s="25"/>
      <c r="B158" s="26" t="str">
        <f aca="false">IF($A158="","",TEXT($A158,"ddd"))</f>
        <v/>
      </c>
      <c r="C158" s="27"/>
      <c r="D158" s="27"/>
      <c r="E158" s="27"/>
      <c r="F158" s="27"/>
      <c r="G158" s="27"/>
      <c r="H158" s="27"/>
      <c r="I158" s="27"/>
      <c r="J158" s="27"/>
      <c r="K158" s="28" t="str">
        <f aca="false">IF(OR($I158="",$J158=""),"",IFERROR($J158/$I158,""))</f>
        <v/>
      </c>
      <c r="L158" s="27"/>
      <c r="M158" s="27"/>
      <c r="N158" s="28" t="str">
        <f aca="false">IF(OR($L158="",$M158=""),"",IFERROR($L158/$M158,""))</f>
        <v/>
      </c>
      <c r="O158" s="27"/>
      <c r="P158" s="27"/>
      <c r="Q158" s="27"/>
      <c r="R158" s="27"/>
      <c r="S158" s="27"/>
      <c r="T158" s="26" t="str">
        <f aca="false">IF($K158="","",IF($K158&gt;=0.25,"WIN",IF($K158&gt;=0.2,"OK","FAIL")))</f>
        <v/>
      </c>
      <c r="U158" s="26" t="str">
        <f aca="false">IF($K158="","",IF($K158&lt;0.2,"REPOST WITH HOOK B",IF($K158&gt;=0.25,"Bank hook in PLAYBOOK","Hold - watch next run")))</f>
        <v/>
      </c>
      <c r="V158" s="27"/>
    </row>
    <row r="159" customFormat="false" ht="15" hidden="false" customHeight="true" outlineLevel="0" collapsed="false">
      <c r="A159" s="25"/>
      <c r="B159" s="26" t="str">
        <f aca="false">IF($A159="","",TEXT($A159,"ddd"))</f>
        <v/>
      </c>
      <c r="C159" s="27"/>
      <c r="D159" s="27"/>
      <c r="E159" s="27"/>
      <c r="F159" s="27"/>
      <c r="G159" s="27"/>
      <c r="H159" s="27"/>
      <c r="I159" s="27"/>
      <c r="J159" s="27"/>
      <c r="K159" s="28" t="str">
        <f aca="false">IF(OR($I159="",$J159=""),"",IFERROR($J159/$I159,""))</f>
        <v/>
      </c>
      <c r="L159" s="27"/>
      <c r="M159" s="27"/>
      <c r="N159" s="28" t="str">
        <f aca="false">IF(OR($L159="",$M159=""),"",IFERROR($L159/$M159,""))</f>
        <v/>
      </c>
      <c r="O159" s="27"/>
      <c r="P159" s="27"/>
      <c r="Q159" s="27"/>
      <c r="R159" s="27"/>
      <c r="S159" s="27"/>
      <c r="T159" s="26" t="str">
        <f aca="false">IF($K159="","",IF($K159&gt;=0.25,"WIN",IF($K159&gt;=0.2,"OK","FAIL")))</f>
        <v/>
      </c>
      <c r="U159" s="26" t="str">
        <f aca="false">IF($K159="","",IF($K159&lt;0.2,"REPOST WITH HOOK B",IF($K159&gt;=0.25,"Bank hook in PLAYBOOK","Hold - watch next run")))</f>
        <v/>
      </c>
      <c r="V159" s="27"/>
    </row>
    <row r="160" customFormat="false" ht="15" hidden="false" customHeight="true" outlineLevel="0" collapsed="false">
      <c r="A160" s="25"/>
      <c r="B160" s="26" t="str">
        <f aca="false">IF($A160="","",TEXT($A160,"ddd"))</f>
        <v/>
      </c>
      <c r="C160" s="27"/>
      <c r="D160" s="27"/>
      <c r="E160" s="27"/>
      <c r="F160" s="27"/>
      <c r="G160" s="27"/>
      <c r="H160" s="27"/>
      <c r="I160" s="27"/>
      <c r="J160" s="27"/>
      <c r="K160" s="28" t="str">
        <f aca="false">IF(OR($I160="",$J160=""),"",IFERROR($J160/$I160,""))</f>
        <v/>
      </c>
      <c r="L160" s="27"/>
      <c r="M160" s="27"/>
      <c r="N160" s="28" t="str">
        <f aca="false">IF(OR($L160="",$M160=""),"",IFERROR($L160/$M160,""))</f>
        <v/>
      </c>
      <c r="O160" s="27"/>
      <c r="P160" s="27"/>
      <c r="Q160" s="27"/>
      <c r="R160" s="27"/>
      <c r="S160" s="27"/>
      <c r="T160" s="26" t="str">
        <f aca="false">IF($K160="","",IF($K160&gt;=0.25,"WIN",IF($K160&gt;=0.2,"OK","FAIL")))</f>
        <v/>
      </c>
      <c r="U160" s="26" t="str">
        <f aca="false">IF($K160="","",IF($K160&lt;0.2,"REPOST WITH HOOK B",IF($K160&gt;=0.25,"Bank hook in PLAYBOOK","Hold - watch next run")))</f>
        <v/>
      </c>
      <c r="V160" s="27"/>
    </row>
    <row r="161" customFormat="false" ht="15" hidden="false" customHeight="true" outlineLevel="0" collapsed="false">
      <c r="A161" s="25"/>
      <c r="B161" s="26" t="str">
        <f aca="false">IF($A161="","",TEXT($A161,"ddd"))</f>
        <v/>
      </c>
      <c r="C161" s="27"/>
      <c r="D161" s="27"/>
      <c r="E161" s="27"/>
      <c r="F161" s="27"/>
      <c r="G161" s="27"/>
      <c r="H161" s="27"/>
      <c r="I161" s="27"/>
      <c r="J161" s="27"/>
      <c r="K161" s="28" t="str">
        <f aca="false">IF(OR($I161="",$J161=""),"",IFERROR($J161/$I161,""))</f>
        <v/>
      </c>
      <c r="L161" s="27"/>
      <c r="M161" s="27"/>
      <c r="N161" s="28" t="str">
        <f aca="false">IF(OR($L161="",$M161=""),"",IFERROR($L161/$M161,""))</f>
        <v/>
      </c>
      <c r="O161" s="27"/>
      <c r="P161" s="27"/>
      <c r="Q161" s="27"/>
      <c r="R161" s="27"/>
      <c r="S161" s="27"/>
      <c r="T161" s="26" t="str">
        <f aca="false">IF($K161="","",IF($K161&gt;=0.25,"WIN",IF($K161&gt;=0.2,"OK","FAIL")))</f>
        <v/>
      </c>
      <c r="U161" s="26" t="str">
        <f aca="false">IF($K161="","",IF($K161&lt;0.2,"REPOST WITH HOOK B",IF($K161&gt;=0.25,"Bank hook in PLAYBOOK","Hold - watch next run")))</f>
        <v/>
      </c>
      <c r="V161" s="27"/>
    </row>
    <row r="162" customFormat="false" ht="15" hidden="false" customHeight="true" outlineLevel="0" collapsed="false">
      <c r="A162" s="25"/>
      <c r="B162" s="26" t="str">
        <f aca="false">IF($A162="","",TEXT($A162,"ddd"))</f>
        <v/>
      </c>
      <c r="C162" s="27"/>
      <c r="D162" s="27"/>
      <c r="E162" s="27"/>
      <c r="F162" s="27"/>
      <c r="G162" s="27"/>
      <c r="H162" s="27"/>
      <c r="I162" s="27"/>
      <c r="J162" s="27"/>
      <c r="K162" s="28" t="str">
        <f aca="false">IF(OR($I162="",$J162=""),"",IFERROR($J162/$I162,""))</f>
        <v/>
      </c>
      <c r="L162" s="27"/>
      <c r="M162" s="27"/>
      <c r="N162" s="28" t="str">
        <f aca="false">IF(OR($L162="",$M162=""),"",IFERROR($L162/$M162,""))</f>
        <v/>
      </c>
      <c r="O162" s="27"/>
      <c r="P162" s="27"/>
      <c r="Q162" s="27"/>
      <c r="R162" s="27"/>
      <c r="S162" s="27"/>
      <c r="T162" s="26" t="str">
        <f aca="false">IF($K162="","",IF($K162&gt;=0.25,"WIN",IF($K162&gt;=0.2,"OK","FAIL")))</f>
        <v/>
      </c>
      <c r="U162" s="26" t="str">
        <f aca="false">IF($K162="","",IF($K162&lt;0.2,"REPOST WITH HOOK B",IF($K162&gt;=0.25,"Bank hook in PLAYBOOK","Hold - watch next run")))</f>
        <v/>
      </c>
      <c r="V162" s="27"/>
    </row>
    <row r="163" customFormat="false" ht="15" hidden="false" customHeight="true" outlineLevel="0" collapsed="false">
      <c r="A163" s="25"/>
      <c r="B163" s="26" t="str">
        <f aca="false">IF($A163="","",TEXT($A163,"ddd"))</f>
        <v/>
      </c>
      <c r="C163" s="27"/>
      <c r="D163" s="27"/>
      <c r="E163" s="27"/>
      <c r="F163" s="27"/>
      <c r="G163" s="27"/>
      <c r="H163" s="27"/>
      <c r="I163" s="27"/>
      <c r="J163" s="27"/>
      <c r="K163" s="28" t="str">
        <f aca="false">IF(OR($I163="",$J163=""),"",IFERROR($J163/$I163,""))</f>
        <v/>
      </c>
      <c r="L163" s="27"/>
      <c r="M163" s="27"/>
      <c r="N163" s="28" t="str">
        <f aca="false">IF(OR($L163="",$M163=""),"",IFERROR($L163/$M163,""))</f>
        <v/>
      </c>
      <c r="O163" s="27"/>
      <c r="P163" s="27"/>
      <c r="Q163" s="27"/>
      <c r="R163" s="27"/>
      <c r="S163" s="27"/>
      <c r="T163" s="26" t="str">
        <f aca="false">IF($K163="","",IF($K163&gt;=0.25,"WIN",IF($K163&gt;=0.2,"OK","FAIL")))</f>
        <v/>
      </c>
      <c r="U163" s="26" t="str">
        <f aca="false">IF($K163="","",IF($K163&lt;0.2,"REPOST WITH HOOK B",IF($K163&gt;=0.25,"Bank hook in PLAYBOOK","Hold - watch next run")))</f>
        <v/>
      </c>
      <c r="V163" s="27"/>
    </row>
    <row r="164" customFormat="false" ht="15" hidden="false" customHeight="true" outlineLevel="0" collapsed="false">
      <c r="A164" s="25"/>
      <c r="B164" s="26" t="str">
        <f aca="false">IF($A164="","",TEXT($A164,"ddd"))</f>
        <v/>
      </c>
      <c r="C164" s="27"/>
      <c r="D164" s="27"/>
      <c r="E164" s="27"/>
      <c r="F164" s="27"/>
      <c r="G164" s="27"/>
      <c r="H164" s="27"/>
      <c r="I164" s="27"/>
      <c r="J164" s="27"/>
      <c r="K164" s="28" t="str">
        <f aca="false">IF(OR($I164="",$J164=""),"",IFERROR($J164/$I164,""))</f>
        <v/>
      </c>
      <c r="L164" s="27"/>
      <c r="M164" s="27"/>
      <c r="N164" s="28" t="str">
        <f aca="false">IF(OR($L164="",$M164=""),"",IFERROR($L164/$M164,""))</f>
        <v/>
      </c>
      <c r="O164" s="27"/>
      <c r="P164" s="27"/>
      <c r="Q164" s="27"/>
      <c r="R164" s="27"/>
      <c r="S164" s="27"/>
      <c r="T164" s="26" t="str">
        <f aca="false">IF($K164="","",IF($K164&gt;=0.25,"WIN",IF($K164&gt;=0.2,"OK","FAIL")))</f>
        <v/>
      </c>
      <c r="U164" s="26" t="str">
        <f aca="false">IF($K164="","",IF($K164&lt;0.2,"REPOST WITH HOOK B",IF($K164&gt;=0.25,"Bank hook in PLAYBOOK","Hold - watch next run")))</f>
        <v/>
      </c>
      <c r="V164" s="27"/>
    </row>
    <row r="165" customFormat="false" ht="15" hidden="false" customHeight="true" outlineLevel="0" collapsed="false">
      <c r="A165" s="25"/>
      <c r="B165" s="26" t="str">
        <f aca="false">IF($A165="","",TEXT($A165,"ddd"))</f>
        <v/>
      </c>
      <c r="C165" s="27"/>
      <c r="D165" s="27"/>
      <c r="E165" s="27"/>
      <c r="F165" s="27"/>
      <c r="G165" s="27"/>
      <c r="H165" s="27"/>
      <c r="I165" s="27"/>
      <c r="J165" s="27"/>
      <c r="K165" s="28" t="str">
        <f aca="false">IF(OR($I165="",$J165=""),"",IFERROR($J165/$I165,""))</f>
        <v/>
      </c>
      <c r="L165" s="27"/>
      <c r="M165" s="27"/>
      <c r="N165" s="28" t="str">
        <f aca="false">IF(OR($L165="",$M165=""),"",IFERROR($L165/$M165,""))</f>
        <v/>
      </c>
      <c r="O165" s="27"/>
      <c r="P165" s="27"/>
      <c r="Q165" s="27"/>
      <c r="R165" s="27"/>
      <c r="S165" s="27"/>
      <c r="T165" s="26" t="str">
        <f aca="false">IF($K165="","",IF($K165&gt;=0.25,"WIN",IF($K165&gt;=0.2,"OK","FAIL")))</f>
        <v/>
      </c>
      <c r="U165" s="26" t="str">
        <f aca="false">IF($K165="","",IF($K165&lt;0.2,"REPOST WITH HOOK B",IF($K165&gt;=0.25,"Bank hook in PLAYBOOK","Hold - watch next run")))</f>
        <v/>
      </c>
      <c r="V165" s="27"/>
    </row>
    <row r="166" customFormat="false" ht="15" hidden="false" customHeight="true" outlineLevel="0" collapsed="false">
      <c r="A166" s="25"/>
      <c r="B166" s="26" t="str">
        <f aca="false">IF($A166="","",TEXT($A166,"ddd"))</f>
        <v/>
      </c>
      <c r="C166" s="27"/>
      <c r="D166" s="27"/>
      <c r="E166" s="27"/>
      <c r="F166" s="27"/>
      <c r="G166" s="27"/>
      <c r="H166" s="27"/>
      <c r="I166" s="27"/>
      <c r="J166" s="27"/>
      <c r="K166" s="28" t="str">
        <f aca="false">IF(OR($I166="",$J166=""),"",IFERROR($J166/$I166,""))</f>
        <v/>
      </c>
      <c r="L166" s="27"/>
      <c r="M166" s="27"/>
      <c r="N166" s="28" t="str">
        <f aca="false">IF(OR($L166="",$M166=""),"",IFERROR($L166/$M166,""))</f>
        <v/>
      </c>
      <c r="O166" s="27"/>
      <c r="P166" s="27"/>
      <c r="Q166" s="27"/>
      <c r="R166" s="27"/>
      <c r="S166" s="27"/>
      <c r="T166" s="26" t="str">
        <f aca="false">IF($K166="","",IF($K166&gt;=0.25,"WIN",IF($K166&gt;=0.2,"OK","FAIL")))</f>
        <v/>
      </c>
      <c r="U166" s="26" t="str">
        <f aca="false">IF($K166="","",IF($K166&lt;0.2,"REPOST WITH HOOK B",IF($K166&gt;=0.25,"Bank hook in PLAYBOOK","Hold - watch next run")))</f>
        <v/>
      </c>
      <c r="V166" s="27"/>
    </row>
    <row r="167" customFormat="false" ht="15" hidden="false" customHeight="true" outlineLevel="0" collapsed="false">
      <c r="A167" s="25"/>
      <c r="B167" s="26" t="str">
        <f aca="false">IF($A167="","",TEXT($A167,"ddd"))</f>
        <v/>
      </c>
      <c r="C167" s="27"/>
      <c r="D167" s="27"/>
      <c r="E167" s="27"/>
      <c r="F167" s="27"/>
      <c r="G167" s="27"/>
      <c r="H167" s="27"/>
      <c r="I167" s="27"/>
      <c r="J167" s="27"/>
      <c r="K167" s="28" t="str">
        <f aca="false">IF(OR($I167="",$J167=""),"",IFERROR($J167/$I167,""))</f>
        <v/>
      </c>
      <c r="L167" s="27"/>
      <c r="M167" s="27"/>
      <c r="N167" s="28" t="str">
        <f aca="false">IF(OR($L167="",$M167=""),"",IFERROR($L167/$M167,""))</f>
        <v/>
      </c>
      <c r="O167" s="27"/>
      <c r="P167" s="27"/>
      <c r="Q167" s="27"/>
      <c r="R167" s="27"/>
      <c r="S167" s="27"/>
      <c r="T167" s="26" t="str">
        <f aca="false">IF($K167="","",IF($K167&gt;=0.25,"WIN",IF($K167&gt;=0.2,"OK","FAIL")))</f>
        <v/>
      </c>
      <c r="U167" s="26" t="str">
        <f aca="false">IF($K167="","",IF($K167&lt;0.2,"REPOST WITH HOOK B",IF($K167&gt;=0.25,"Bank hook in PLAYBOOK","Hold - watch next run")))</f>
        <v/>
      </c>
      <c r="V167" s="27"/>
    </row>
    <row r="168" customFormat="false" ht="15" hidden="false" customHeight="true" outlineLevel="0" collapsed="false">
      <c r="A168" s="25"/>
      <c r="B168" s="26" t="str">
        <f aca="false">IF($A168="","",TEXT($A168,"ddd"))</f>
        <v/>
      </c>
      <c r="C168" s="27"/>
      <c r="D168" s="27"/>
      <c r="E168" s="27"/>
      <c r="F168" s="27"/>
      <c r="G168" s="27"/>
      <c r="H168" s="27"/>
      <c r="I168" s="27"/>
      <c r="J168" s="27"/>
      <c r="K168" s="28" t="str">
        <f aca="false">IF(OR($I168="",$J168=""),"",IFERROR($J168/$I168,""))</f>
        <v/>
      </c>
      <c r="L168" s="27"/>
      <c r="M168" s="27"/>
      <c r="N168" s="28" t="str">
        <f aca="false">IF(OR($L168="",$M168=""),"",IFERROR($L168/$M168,""))</f>
        <v/>
      </c>
      <c r="O168" s="27"/>
      <c r="P168" s="27"/>
      <c r="Q168" s="27"/>
      <c r="R168" s="27"/>
      <c r="S168" s="27"/>
      <c r="T168" s="26" t="str">
        <f aca="false">IF($K168="","",IF($K168&gt;=0.25,"WIN",IF($K168&gt;=0.2,"OK","FAIL")))</f>
        <v/>
      </c>
      <c r="U168" s="26" t="str">
        <f aca="false">IF($K168="","",IF($K168&lt;0.2,"REPOST WITH HOOK B",IF($K168&gt;=0.25,"Bank hook in PLAYBOOK","Hold - watch next run")))</f>
        <v/>
      </c>
      <c r="V168" s="27"/>
    </row>
    <row r="169" customFormat="false" ht="15" hidden="false" customHeight="true" outlineLevel="0" collapsed="false">
      <c r="A169" s="25"/>
      <c r="B169" s="26" t="str">
        <f aca="false">IF($A169="","",TEXT($A169,"ddd"))</f>
        <v/>
      </c>
      <c r="C169" s="27"/>
      <c r="D169" s="27"/>
      <c r="E169" s="27"/>
      <c r="F169" s="27"/>
      <c r="G169" s="27"/>
      <c r="H169" s="27"/>
      <c r="I169" s="27"/>
      <c r="J169" s="27"/>
      <c r="K169" s="28" t="str">
        <f aca="false">IF(OR($I169="",$J169=""),"",IFERROR($J169/$I169,""))</f>
        <v/>
      </c>
      <c r="L169" s="27"/>
      <c r="M169" s="27"/>
      <c r="N169" s="28" t="str">
        <f aca="false">IF(OR($L169="",$M169=""),"",IFERROR($L169/$M169,""))</f>
        <v/>
      </c>
      <c r="O169" s="27"/>
      <c r="P169" s="27"/>
      <c r="Q169" s="27"/>
      <c r="R169" s="27"/>
      <c r="S169" s="27"/>
      <c r="T169" s="26" t="str">
        <f aca="false">IF($K169="","",IF($K169&gt;=0.25,"WIN",IF($K169&gt;=0.2,"OK","FAIL")))</f>
        <v/>
      </c>
      <c r="U169" s="26" t="str">
        <f aca="false">IF($K169="","",IF($K169&lt;0.2,"REPOST WITH HOOK B",IF($K169&gt;=0.25,"Bank hook in PLAYBOOK","Hold - watch next run")))</f>
        <v/>
      </c>
      <c r="V169" s="27"/>
    </row>
    <row r="170" customFormat="false" ht="15" hidden="false" customHeight="true" outlineLevel="0" collapsed="false">
      <c r="A170" s="25"/>
      <c r="B170" s="26" t="str">
        <f aca="false">IF($A170="","",TEXT($A170,"ddd"))</f>
        <v/>
      </c>
      <c r="C170" s="27"/>
      <c r="D170" s="27"/>
      <c r="E170" s="27"/>
      <c r="F170" s="27"/>
      <c r="G170" s="27"/>
      <c r="H170" s="27"/>
      <c r="I170" s="27"/>
      <c r="J170" s="27"/>
      <c r="K170" s="28" t="str">
        <f aca="false">IF(OR($I170="",$J170=""),"",IFERROR($J170/$I170,""))</f>
        <v/>
      </c>
      <c r="L170" s="27"/>
      <c r="M170" s="27"/>
      <c r="N170" s="28" t="str">
        <f aca="false">IF(OR($L170="",$M170=""),"",IFERROR($L170/$M170,""))</f>
        <v/>
      </c>
      <c r="O170" s="27"/>
      <c r="P170" s="27"/>
      <c r="Q170" s="27"/>
      <c r="R170" s="27"/>
      <c r="S170" s="27"/>
      <c r="T170" s="26" t="str">
        <f aca="false">IF($K170="","",IF($K170&gt;=0.25,"WIN",IF($K170&gt;=0.2,"OK","FAIL")))</f>
        <v/>
      </c>
      <c r="U170" s="26" t="str">
        <f aca="false">IF($K170="","",IF($K170&lt;0.2,"REPOST WITH HOOK B",IF($K170&gt;=0.25,"Bank hook in PLAYBOOK","Hold - watch next run")))</f>
        <v/>
      </c>
      <c r="V170" s="27"/>
    </row>
    <row r="171" customFormat="false" ht="15" hidden="false" customHeight="true" outlineLevel="0" collapsed="false">
      <c r="A171" s="25"/>
      <c r="B171" s="26" t="str">
        <f aca="false">IF($A171="","",TEXT($A171,"ddd"))</f>
        <v/>
      </c>
      <c r="C171" s="27"/>
      <c r="D171" s="27"/>
      <c r="E171" s="27"/>
      <c r="F171" s="27"/>
      <c r="G171" s="27"/>
      <c r="H171" s="27"/>
      <c r="I171" s="27"/>
      <c r="J171" s="27"/>
      <c r="K171" s="28" t="str">
        <f aca="false">IF(OR($I171="",$J171=""),"",IFERROR($J171/$I171,""))</f>
        <v/>
      </c>
      <c r="L171" s="27"/>
      <c r="M171" s="27"/>
      <c r="N171" s="28" t="str">
        <f aca="false">IF(OR($L171="",$M171=""),"",IFERROR($L171/$M171,""))</f>
        <v/>
      </c>
      <c r="O171" s="27"/>
      <c r="P171" s="27"/>
      <c r="Q171" s="27"/>
      <c r="R171" s="27"/>
      <c r="S171" s="27"/>
      <c r="T171" s="26" t="str">
        <f aca="false">IF($K171="","",IF($K171&gt;=0.25,"WIN",IF($K171&gt;=0.2,"OK","FAIL")))</f>
        <v/>
      </c>
      <c r="U171" s="26" t="str">
        <f aca="false">IF($K171="","",IF($K171&lt;0.2,"REPOST WITH HOOK B",IF($K171&gt;=0.25,"Bank hook in PLAYBOOK","Hold - watch next run")))</f>
        <v/>
      </c>
      <c r="V171" s="27"/>
    </row>
    <row r="172" customFormat="false" ht="15" hidden="false" customHeight="true" outlineLevel="0" collapsed="false">
      <c r="A172" s="25"/>
      <c r="B172" s="26" t="str">
        <f aca="false">IF($A172="","",TEXT($A172,"ddd"))</f>
        <v/>
      </c>
      <c r="C172" s="27"/>
      <c r="D172" s="27"/>
      <c r="E172" s="27"/>
      <c r="F172" s="27"/>
      <c r="G172" s="27"/>
      <c r="H172" s="27"/>
      <c r="I172" s="27"/>
      <c r="J172" s="27"/>
      <c r="K172" s="28" t="str">
        <f aca="false">IF(OR($I172="",$J172=""),"",IFERROR($J172/$I172,""))</f>
        <v/>
      </c>
      <c r="L172" s="27"/>
      <c r="M172" s="27"/>
      <c r="N172" s="28" t="str">
        <f aca="false">IF(OR($L172="",$M172=""),"",IFERROR($L172/$M172,""))</f>
        <v/>
      </c>
      <c r="O172" s="27"/>
      <c r="P172" s="27"/>
      <c r="Q172" s="27"/>
      <c r="R172" s="27"/>
      <c r="S172" s="27"/>
      <c r="T172" s="26" t="str">
        <f aca="false">IF($K172="","",IF($K172&gt;=0.25,"WIN",IF($K172&gt;=0.2,"OK","FAIL")))</f>
        <v/>
      </c>
      <c r="U172" s="26" t="str">
        <f aca="false">IF($K172="","",IF($K172&lt;0.2,"REPOST WITH HOOK B",IF($K172&gt;=0.25,"Bank hook in PLAYBOOK","Hold - watch next run")))</f>
        <v/>
      </c>
      <c r="V172" s="27"/>
    </row>
    <row r="173" customFormat="false" ht="15" hidden="false" customHeight="true" outlineLevel="0" collapsed="false">
      <c r="A173" s="25"/>
      <c r="B173" s="26" t="str">
        <f aca="false">IF($A173="","",TEXT($A173,"ddd"))</f>
        <v/>
      </c>
      <c r="C173" s="27"/>
      <c r="D173" s="27"/>
      <c r="E173" s="27"/>
      <c r="F173" s="27"/>
      <c r="G173" s="27"/>
      <c r="H173" s="27"/>
      <c r="I173" s="27"/>
      <c r="J173" s="27"/>
      <c r="K173" s="28" t="str">
        <f aca="false">IF(OR($I173="",$J173=""),"",IFERROR($J173/$I173,""))</f>
        <v/>
      </c>
      <c r="L173" s="27"/>
      <c r="M173" s="27"/>
      <c r="N173" s="28" t="str">
        <f aca="false">IF(OR($L173="",$M173=""),"",IFERROR($L173/$M173,""))</f>
        <v/>
      </c>
      <c r="O173" s="27"/>
      <c r="P173" s="27"/>
      <c r="Q173" s="27"/>
      <c r="R173" s="27"/>
      <c r="S173" s="27"/>
      <c r="T173" s="26" t="str">
        <f aca="false">IF($K173="","",IF($K173&gt;=0.25,"WIN",IF($K173&gt;=0.2,"OK","FAIL")))</f>
        <v/>
      </c>
      <c r="U173" s="26" t="str">
        <f aca="false">IF($K173="","",IF($K173&lt;0.2,"REPOST WITH HOOK B",IF($K173&gt;=0.25,"Bank hook in PLAYBOOK","Hold - watch next run")))</f>
        <v/>
      </c>
      <c r="V173" s="27"/>
    </row>
    <row r="174" customFormat="false" ht="15" hidden="false" customHeight="true" outlineLevel="0" collapsed="false">
      <c r="A174" s="25"/>
      <c r="B174" s="26" t="str">
        <f aca="false">IF($A174="","",TEXT($A174,"ddd"))</f>
        <v/>
      </c>
      <c r="C174" s="27"/>
      <c r="D174" s="27"/>
      <c r="E174" s="27"/>
      <c r="F174" s="27"/>
      <c r="G174" s="27"/>
      <c r="H174" s="27"/>
      <c r="I174" s="27"/>
      <c r="J174" s="27"/>
      <c r="K174" s="28" t="str">
        <f aca="false">IF(OR($I174="",$J174=""),"",IFERROR($J174/$I174,""))</f>
        <v/>
      </c>
      <c r="L174" s="27"/>
      <c r="M174" s="27"/>
      <c r="N174" s="28" t="str">
        <f aca="false">IF(OR($L174="",$M174=""),"",IFERROR($L174/$M174,""))</f>
        <v/>
      </c>
      <c r="O174" s="27"/>
      <c r="P174" s="27"/>
      <c r="Q174" s="27"/>
      <c r="R174" s="27"/>
      <c r="S174" s="27"/>
      <c r="T174" s="26" t="str">
        <f aca="false">IF($K174="","",IF($K174&gt;=0.25,"WIN",IF($K174&gt;=0.2,"OK","FAIL")))</f>
        <v/>
      </c>
      <c r="U174" s="26" t="str">
        <f aca="false">IF($K174="","",IF($K174&lt;0.2,"REPOST WITH HOOK B",IF($K174&gt;=0.25,"Bank hook in PLAYBOOK","Hold - watch next run")))</f>
        <v/>
      </c>
      <c r="V174" s="27"/>
    </row>
    <row r="175" customFormat="false" ht="15" hidden="false" customHeight="true" outlineLevel="0" collapsed="false">
      <c r="A175" s="25"/>
      <c r="B175" s="26" t="str">
        <f aca="false">IF($A175="","",TEXT($A175,"ddd"))</f>
        <v/>
      </c>
      <c r="C175" s="27"/>
      <c r="D175" s="27"/>
      <c r="E175" s="27"/>
      <c r="F175" s="27"/>
      <c r="G175" s="27"/>
      <c r="H175" s="27"/>
      <c r="I175" s="27"/>
      <c r="J175" s="27"/>
      <c r="K175" s="28" t="str">
        <f aca="false">IF(OR($I175="",$J175=""),"",IFERROR($J175/$I175,""))</f>
        <v/>
      </c>
      <c r="L175" s="27"/>
      <c r="M175" s="27"/>
      <c r="N175" s="28" t="str">
        <f aca="false">IF(OR($L175="",$M175=""),"",IFERROR($L175/$M175,""))</f>
        <v/>
      </c>
      <c r="O175" s="27"/>
      <c r="P175" s="27"/>
      <c r="Q175" s="27"/>
      <c r="R175" s="27"/>
      <c r="S175" s="27"/>
      <c r="T175" s="26" t="str">
        <f aca="false">IF($K175="","",IF($K175&gt;=0.25,"WIN",IF($K175&gt;=0.2,"OK","FAIL")))</f>
        <v/>
      </c>
      <c r="U175" s="26" t="str">
        <f aca="false">IF($K175="","",IF($K175&lt;0.2,"REPOST WITH HOOK B",IF($K175&gt;=0.25,"Bank hook in PLAYBOOK","Hold - watch next run")))</f>
        <v/>
      </c>
      <c r="V175" s="27"/>
    </row>
    <row r="176" customFormat="false" ht="15" hidden="false" customHeight="true" outlineLevel="0" collapsed="false">
      <c r="A176" s="25"/>
      <c r="B176" s="26" t="str">
        <f aca="false">IF($A176="","",TEXT($A176,"ddd"))</f>
        <v/>
      </c>
      <c r="C176" s="27"/>
      <c r="D176" s="27"/>
      <c r="E176" s="27"/>
      <c r="F176" s="27"/>
      <c r="G176" s="27"/>
      <c r="H176" s="27"/>
      <c r="I176" s="27"/>
      <c r="J176" s="27"/>
      <c r="K176" s="28" t="str">
        <f aca="false">IF(OR($I176="",$J176=""),"",IFERROR($J176/$I176,""))</f>
        <v/>
      </c>
      <c r="L176" s="27"/>
      <c r="M176" s="27"/>
      <c r="N176" s="28" t="str">
        <f aca="false">IF(OR($L176="",$M176=""),"",IFERROR($L176/$M176,""))</f>
        <v/>
      </c>
      <c r="O176" s="27"/>
      <c r="P176" s="27"/>
      <c r="Q176" s="27"/>
      <c r="R176" s="27"/>
      <c r="S176" s="27"/>
      <c r="T176" s="26" t="str">
        <f aca="false">IF($K176="","",IF($K176&gt;=0.25,"WIN",IF($K176&gt;=0.2,"OK","FAIL")))</f>
        <v/>
      </c>
      <c r="U176" s="26" t="str">
        <f aca="false">IF($K176="","",IF($K176&lt;0.2,"REPOST WITH HOOK B",IF($K176&gt;=0.25,"Bank hook in PLAYBOOK","Hold - watch next run")))</f>
        <v/>
      </c>
      <c r="V176" s="27"/>
    </row>
    <row r="177" customFormat="false" ht="15" hidden="false" customHeight="true" outlineLevel="0" collapsed="false">
      <c r="A177" s="25"/>
      <c r="B177" s="26" t="str">
        <f aca="false">IF($A177="","",TEXT($A177,"ddd"))</f>
        <v/>
      </c>
      <c r="C177" s="27"/>
      <c r="D177" s="27"/>
      <c r="E177" s="27"/>
      <c r="F177" s="27"/>
      <c r="G177" s="27"/>
      <c r="H177" s="27"/>
      <c r="I177" s="27"/>
      <c r="J177" s="27"/>
      <c r="K177" s="28" t="str">
        <f aca="false">IF(OR($I177="",$J177=""),"",IFERROR($J177/$I177,""))</f>
        <v/>
      </c>
      <c r="L177" s="27"/>
      <c r="M177" s="27"/>
      <c r="N177" s="28" t="str">
        <f aca="false">IF(OR($L177="",$M177=""),"",IFERROR($L177/$M177,""))</f>
        <v/>
      </c>
      <c r="O177" s="27"/>
      <c r="P177" s="27"/>
      <c r="Q177" s="27"/>
      <c r="R177" s="27"/>
      <c r="S177" s="27"/>
      <c r="T177" s="26" t="str">
        <f aca="false">IF($K177="","",IF($K177&gt;=0.25,"WIN",IF($K177&gt;=0.2,"OK","FAIL")))</f>
        <v/>
      </c>
      <c r="U177" s="26" t="str">
        <f aca="false">IF($K177="","",IF($K177&lt;0.2,"REPOST WITH HOOK B",IF($K177&gt;=0.25,"Bank hook in PLAYBOOK","Hold - watch next run")))</f>
        <v/>
      </c>
      <c r="V177" s="27"/>
    </row>
    <row r="178" customFormat="false" ht="15" hidden="false" customHeight="true" outlineLevel="0" collapsed="false">
      <c r="A178" s="25"/>
      <c r="B178" s="26" t="str">
        <f aca="false">IF($A178="","",TEXT($A178,"ddd"))</f>
        <v/>
      </c>
      <c r="C178" s="27"/>
      <c r="D178" s="27"/>
      <c r="E178" s="27"/>
      <c r="F178" s="27"/>
      <c r="G178" s="27"/>
      <c r="H178" s="27"/>
      <c r="I178" s="27"/>
      <c r="J178" s="27"/>
      <c r="K178" s="28" t="str">
        <f aca="false">IF(OR($I178="",$J178=""),"",IFERROR($J178/$I178,""))</f>
        <v/>
      </c>
      <c r="L178" s="27"/>
      <c r="M178" s="27"/>
      <c r="N178" s="28" t="str">
        <f aca="false">IF(OR($L178="",$M178=""),"",IFERROR($L178/$M178,""))</f>
        <v/>
      </c>
      <c r="O178" s="27"/>
      <c r="P178" s="27"/>
      <c r="Q178" s="27"/>
      <c r="R178" s="27"/>
      <c r="S178" s="27"/>
      <c r="T178" s="26" t="str">
        <f aca="false">IF($K178="","",IF($K178&gt;=0.25,"WIN",IF($K178&gt;=0.2,"OK","FAIL")))</f>
        <v/>
      </c>
      <c r="U178" s="26" t="str">
        <f aca="false">IF($K178="","",IF($K178&lt;0.2,"REPOST WITH HOOK B",IF($K178&gt;=0.25,"Bank hook in PLAYBOOK","Hold - watch next run")))</f>
        <v/>
      </c>
      <c r="V178" s="27"/>
    </row>
    <row r="179" customFormat="false" ht="15" hidden="false" customHeight="true" outlineLevel="0" collapsed="false">
      <c r="A179" s="25"/>
      <c r="B179" s="26" t="str">
        <f aca="false">IF($A179="","",TEXT($A179,"ddd"))</f>
        <v/>
      </c>
      <c r="C179" s="27"/>
      <c r="D179" s="27"/>
      <c r="E179" s="27"/>
      <c r="F179" s="27"/>
      <c r="G179" s="27"/>
      <c r="H179" s="27"/>
      <c r="I179" s="27"/>
      <c r="J179" s="27"/>
      <c r="K179" s="28" t="str">
        <f aca="false">IF(OR($I179="",$J179=""),"",IFERROR($J179/$I179,""))</f>
        <v/>
      </c>
      <c r="L179" s="27"/>
      <c r="M179" s="27"/>
      <c r="N179" s="28" t="str">
        <f aca="false">IF(OR($L179="",$M179=""),"",IFERROR($L179/$M179,""))</f>
        <v/>
      </c>
      <c r="O179" s="27"/>
      <c r="P179" s="27"/>
      <c r="Q179" s="27"/>
      <c r="R179" s="27"/>
      <c r="S179" s="27"/>
      <c r="T179" s="26" t="str">
        <f aca="false">IF($K179="","",IF($K179&gt;=0.25,"WIN",IF($K179&gt;=0.2,"OK","FAIL")))</f>
        <v/>
      </c>
      <c r="U179" s="26" t="str">
        <f aca="false">IF($K179="","",IF($K179&lt;0.2,"REPOST WITH HOOK B",IF($K179&gt;=0.25,"Bank hook in PLAYBOOK","Hold - watch next run")))</f>
        <v/>
      </c>
      <c r="V179" s="27"/>
    </row>
    <row r="180" customFormat="false" ht="15" hidden="false" customHeight="true" outlineLevel="0" collapsed="false">
      <c r="A180" s="25"/>
      <c r="B180" s="26" t="str">
        <f aca="false">IF($A180="","",TEXT($A180,"ddd"))</f>
        <v/>
      </c>
      <c r="C180" s="27"/>
      <c r="D180" s="27"/>
      <c r="E180" s="27"/>
      <c r="F180" s="27"/>
      <c r="G180" s="27"/>
      <c r="H180" s="27"/>
      <c r="I180" s="27"/>
      <c r="J180" s="27"/>
      <c r="K180" s="28" t="str">
        <f aca="false">IF(OR($I180="",$J180=""),"",IFERROR($J180/$I180,""))</f>
        <v/>
      </c>
      <c r="L180" s="27"/>
      <c r="M180" s="27"/>
      <c r="N180" s="28" t="str">
        <f aca="false">IF(OR($L180="",$M180=""),"",IFERROR($L180/$M180,""))</f>
        <v/>
      </c>
      <c r="O180" s="27"/>
      <c r="P180" s="27"/>
      <c r="Q180" s="27"/>
      <c r="R180" s="27"/>
      <c r="S180" s="27"/>
      <c r="T180" s="26" t="str">
        <f aca="false">IF($K180="","",IF($K180&gt;=0.25,"WIN",IF($K180&gt;=0.2,"OK","FAIL")))</f>
        <v/>
      </c>
      <c r="U180" s="26" t="str">
        <f aca="false">IF($K180="","",IF($K180&lt;0.2,"REPOST WITH HOOK B",IF($K180&gt;=0.25,"Bank hook in PLAYBOOK","Hold - watch next run")))</f>
        <v/>
      </c>
      <c r="V180" s="27"/>
    </row>
    <row r="181" customFormat="false" ht="15" hidden="false" customHeight="true" outlineLevel="0" collapsed="false">
      <c r="A181" s="25"/>
      <c r="B181" s="26" t="str">
        <f aca="false">IF($A181="","",TEXT($A181,"ddd"))</f>
        <v/>
      </c>
      <c r="C181" s="27"/>
      <c r="D181" s="27"/>
      <c r="E181" s="27"/>
      <c r="F181" s="27"/>
      <c r="G181" s="27"/>
      <c r="H181" s="27"/>
      <c r="I181" s="27"/>
      <c r="J181" s="27"/>
      <c r="K181" s="28" t="str">
        <f aca="false">IF(OR($I181="",$J181=""),"",IFERROR($J181/$I181,""))</f>
        <v/>
      </c>
      <c r="L181" s="27"/>
      <c r="M181" s="27"/>
      <c r="N181" s="28" t="str">
        <f aca="false">IF(OR($L181="",$M181=""),"",IFERROR($L181/$M181,""))</f>
        <v/>
      </c>
      <c r="O181" s="27"/>
      <c r="P181" s="27"/>
      <c r="Q181" s="27"/>
      <c r="R181" s="27"/>
      <c r="S181" s="27"/>
      <c r="T181" s="26" t="str">
        <f aca="false">IF($K181="","",IF($K181&gt;=0.25,"WIN",IF($K181&gt;=0.2,"OK","FAIL")))</f>
        <v/>
      </c>
      <c r="U181" s="26" t="str">
        <f aca="false">IF($K181="","",IF($K181&lt;0.2,"REPOST WITH HOOK B",IF($K181&gt;=0.25,"Bank hook in PLAYBOOK","Hold - watch next run")))</f>
        <v/>
      </c>
      <c r="V181" s="27"/>
    </row>
    <row r="182" customFormat="false" ht="15" hidden="false" customHeight="true" outlineLevel="0" collapsed="false">
      <c r="A182" s="25"/>
      <c r="B182" s="26" t="str">
        <f aca="false">IF($A182="","",TEXT($A182,"ddd"))</f>
        <v/>
      </c>
      <c r="C182" s="27"/>
      <c r="D182" s="27"/>
      <c r="E182" s="27"/>
      <c r="F182" s="27"/>
      <c r="G182" s="27"/>
      <c r="H182" s="27"/>
      <c r="I182" s="27"/>
      <c r="J182" s="27"/>
      <c r="K182" s="28" t="str">
        <f aca="false">IF(OR($I182="",$J182=""),"",IFERROR($J182/$I182,""))</f>
        <v/>
      </c>
      <c r="L182" s="27"/>
      <c r="M182" s="27"/>
      <c r="N182" s="28" t="str">
        <f aca="false">IF(OR($L182="",$M182=""),"",IFERROR($L182/$M182,""))</f>
        <v/>
      </c>
      <c r="O182" s="27"/>
      <c r="P182" s="27"/>
      <c r="Q182" s="27"/>
      <c r="R182" s="27"/>
      <c r="S182" s="27"/>
      <c r="T182" s="26" t="str">
        <f aca="false">IF($K182="","",IF($K182&gt;=0.25,"WIN",IF($K182&gt;=0.2,"OK","FAIL")))</f>
        <v/>
      </c>
      <c r="U182" s="26" t="str">
        <f aca="false">IF($K182="","",IF($K182&lt;0.2,"REPOST WITH HOOK B",IF($K182&gt;=0.25,"Bank hook in PLAYBOOK","Hold - watch next run")))</f>
        <v/>
      </c>
      <c r="V182" s="27"/>
    </row>
    <row r="183" customFormat="false" ht="15" hidden="false" customHeight="true" outlineLevel="0" collapsed="false">
      <c r="A183" s="25"/>
      <c r="B183" s="26" t="str">
        <f aca="false">IF($A183="","",TEXT($A183,"ddd"))</f>
        <v/>
      </c>
      <c r="C183" s="27"/>
      <c r="D183" s="27"/>
      <c r="E183" s="27"/>
      <c r="F183" s="27"/>
      <c r="G183" s="27"/>
      <c r="H183" s="27"/>
      <c r="I183" s="27"/>
      <c r="J183" s="27"/>
      <c r="K183" s="28" t="str">
        <f aca="false">IF(OR($I183="",$J183=""),"",IFERROR($J183/$I183,""))</f>
        <v/>
      </c>
      <c r="L183" s="27"/>
      <c r="M183" s="27"/>
      <c r="N183" s="28" t="str">
        <f aca="false">IF(OR($L183="",$M183=""),"",IFERROR($L183/$M183,""))</f>
        <v/>
      </c>
      <c r="O183" s="27"/>
      <c r="P183" s="27"/>
      <c r="Q183" s="27"/>
      <c r="R183" s="27"/>
      <c r="S183" s="27"/>
      <c r="T183" s="26" t="str">
        <f aca="false">IF($K183="","",IF($K183&gt;=0.25,"WIN",IF($K183&gt;=0.2,"OK","FAIL")))</f>
        <v/>
      </c>
      <c r="U183" s="26" t="str">
        <f aca="false">IF($K183="","",IF($K183&lt;0.2,"REPOST WITH HOOK B",IF($K183&gt;=0.25,"Bank hook in PLAYBOOK","Hold - watch next run")))</f>
        <v/>
      </c>
      <c r="V183" s="27"/>
    </row>
    <row r="184" customFormat="false" ht="15" hidden="false" customHeight="true" outlineLevel="0" collapsed="false">
      <c r="A184" s="25"/>
      <c r="B184" s="26" t="str">
        <f aca="false">IF($A184="","",TEXT($A184,"ddd"))</f>
        <v/>
      </c>
      <c r="C184" s="27"/>
      <c r="D184" s="27"/>
      <c r="E184" s="27"/>
      <c r="F184" s="27"/>
      <c r="G184" s="27"/>
      <c r="H184" s="27"/>
      <c r="I184" s="27"/>
      <c r="J184" s="27"/>
      <c r="K184" s="28" t="str">
        <f aca="false">IF(OR($I184="",$J184=""),"",IFERROR($J184/$I184,""))</f>
        <v/>
      </c>
      <c r="L184" s="27"/>
      <c r="M184" s="27"/>
      <c r="N184" s="28" t="str">
        <f aca="false">IF(OR($L184="",$M184=""),"",IFERROR($L184/$M184,""))</f>
        <v/>
      </c>
      <c r="O184" s="27"/>
      <c r="P184" s="27"/>
      <c r="Q184" s="27"/>
      <c r="R184" s="27"/>
      <c r="S184" s="27"/>
      <c r="T184" s="26" t="str">
        <f aca="false">IF($K184="","",IF($K184&gt;=0.25,"WIN",IF($K184&gt;=0.2,"OK","FAIL")))</f>
        <v/>
      </c>
      <c r="U184" s="26" t="str">
        <f aca="false">IF($K184="","",IF($K184&lt;0.2,"REPOST WITH HOOK B",IF($K184&gt;=0.25,"Bank hook in PLAYBOOK","Hold - watch next run")))</f>
        <v/>
      </c>
      <c r="V184" s="27"/>
    </row>
    <row r="185" customFormat="false" ht="15" hidden="false" customHeight="true" outlineLevel="0" collapsed="false">
      <c r="A185" s="25"/>
      <c r="B185" s="26" t="str">
        <f aca="false">IF($A185="","",TEXT($A185,"ddd"))</f>
        <v/>
      </c>
      <c r="C185" s="27"/>
      <c r="D185" s="27"/>
      <c r="E185" s="27"/>
      <c r="F185" s="27"/>
      <c r="G185" s="27"/>
      <c r="H185" s="27"/>
      <c r="I185" s="27"/>
      <c r="J185" s="27"/>
      <c r="K185" s="28" t="str">
        <f aca="false">IF(OR($I185="",$J185=""),"",IFERROR($J185/$I185,""))</f>
        <v/>
      </c>
      <c r="L185" s="27"/>
      <c r="M185" s="27"/>
      <c r="N185" s="28" t="str">
        <f aca="false">IF(OR($L185="",$M185=""),"",IFERROR($L185/$M185,""))</f>
        <v/>
      </c>
      <c r="O185" s="27"/>
      <c r="P185" s="27"/>
      <c r="Q185" s="27"/>
      <c r="R185" s="27"/>
      <c r="S185" s="27"/>
      <c r="T185" s="26" t="str">
        <f aca="false">IF($K185="","",IF($K185&gt;=0.25,"WIN",IF($K185&gt;=0.2,"OK","FAIL")))</f>
        <v/>
      </c>
      <c r="U185" s="26" t="str">
        <f aca="false">IF($K185="","",IF($K185&lt;0.2,"REPOST WITH HOOK B",IF($K185&gt;=0.25,"Bank hook in PLAYBOOK","Hold - watch next run")))</f>
        <v/>
      </c>
      <c r="V185" s="27"/>
    </row>
    <row r="186" customFormat="false" ht="15" hidden="false" customHeight="true" outlineLevel="0" collapsed="false">
      <c r="A186" s="25"/>
      <c r="B186" s="26" t="str">
        <f aca="false">IF($A186="","",TEXT($A186,"ddd"))</f>
        <v/>
      </c>
      <c r="C186" s="27"/>
      <c r="D186" s="27"/>
      <c r="E186" s="27"/>
      <c r="F186" s="27"/>
      <c r="G186" s="27"/>
      <c r="H186" s="27"/>
      <c r="I186" s="27"/>
      <c r="J186" s="27"/>
      <c r="K186" s="28" t="str">
        <f aca="false">IF(OR($I186="",$J186=""),"",IFERROR($J186/$I186,""))</f>
        <v/>
      </c>
      <c r="L186" s="27"/>
      <c r="M186" s="27"/>
      <c r="N186" s="28" t="str">
        <f aca="false">IF(OR($L186="",$M186=""),"",IFERROR($L186/$M186,""))</f>
        <v/>
      </c>
      <c r="O186" s="27"/>
      <c r="P186" s="27"/>
      <c r="Q186" s="27"/>
      <c r="R186" s="27"/>
      <c r="S186" s="27"/>
      <c r="T186" s="26" t="str">
        <f aca="false">IF($K186="","",IF($K186&gt;=0.25,"WIN",IF($K186&gt;=0.2,"OK","FAIL")))</f>
        <v/>
      </c>
      <c r="U186" s="26" t="str">
        <f aca="false">IF($K186="","",IF($K186&lt;0.2,"REPOST WITH HOOK B",IF($K186&gt;=0.25,"Bank hook in PLAYBOOK","Hold - watch next run")))</f>
        <v/>
      </c>
      <c r="V186" s="27"/>
    </row>
    <row r="187" customFormat="false" ht="15" hidden="false" customHeight="true" outlineLevel="0" collapsed="false">
      <c r="A187" s="25"/>
      <c r="B187" s="26" t="str">
        <f aca="false">IF($A187="","",TEXT($A187,"ddd"))</f>
        <v/>
      </c>
      <c r="C187" s="27"/>
      <c r="D187" s="27"/>
      <c r="E187" s="27"/>
      <c r="F187" s="27"/>
      <c r="G187" s="27"/>
      <c r="H187" s="27"/>
      <c r="I187" s="27"/>
      <c r="J187" s="27"/>
      <c r="K187" s="28" t="str">
        <f aca="false">IF(OR($I187="",$J187=""),"",IFERROR($J187/$I187,""))</f>
        <v/>
      </c>
      <c r="L187" s="27"/>
      <c r="M187" s="27"/>
      <c r="N187" s="28" t="str">
        <f aca="false">IF(OR($L187="",$M187=""),"",IFERROR($L187/$M187,""))</f>
        <v/>
      </c>
      <c r="O187" s="27"/>
      <c r="P187" s="27"/>
      <c r="Q187" s="27"/>
      <c r="R187" s="27"/>
      <c r="S187" s="27"/>
      <c r="T187" s="26" t="str">
        <f aca="false">IF($K187="","",IF($K187&gt;=0.25,"WIN",IF($K187&gt;=0.2,"OK","FAIL")))</f>
        <v/>
      </c>
      <c r="U187" s="26" t="str">
        <f aca="false">IF($K187="","",IF($K187&lt;0.2,"REPOST WITH HOOK B",IF($K187&gt;=0.25,"Bank hook in PLAYBOOK","Hold - watch next run")))</f>
        <v/>
      </c>
      <c r="V187" s="27"/>
    </row>
    <row r="188" customFormat="false" ht="15" hidden="false" customHeight="true" outlineLevel="0" collapsed="false">
      <c r="A188" s="25"/>
      <c r="B188" s="26" t="str">
        <f aca="false">IF($A188="","",TEXT($A188,"ddd"))</f>
        <v/>
      </c>
      <c r="C188" s="27"/>
      <c r="D188" s="27"/>
      <c r="E188" s="27"/>
      <c r="F188" s="27"/>
      <c r="G188" s="27"/>
      <c r="H188" s="27"/>
      <c r="I188" s="27"/>
      <c r="J188" s="27"/>
      <c r="K188" s="28" t="str">
        <f aca="false">IF(OR($I188="",$J188=""),"",IFERROR($J188/$I188,""))</f>
        <v/>
      </c>
      <c r="L188" s="27"/>
      <c r="M188" s="27"/>
      <c r="N188" s="28" t="str">
        <f aca="false">IF(OR($L188="",$M188=""),"",IFERROR($L188/$M188,""))</f>
        <v/>
      </c>
      <c r="O188" s="27"/>
      <c r="P188" s="27"/>
      <c r="Q188" s="27"/>
      <c r="R188" s="27"/>
      <c r="S188" s="27"/>
      <c r="T188" s="26" t="str">
        <f aca="false">IF($K188="","",IF($K188&gt;=0.25,"WIN",IF($K188&gt;=0.2,"OK","FAIL")))</f>
        <v/>
      </c>
      <c r="U188" s="26" t="str">
        <f aca="false">IF($K188="","",IF($K188&lt;0.2,"REPOST WITH HOOK B",IF($K188&gt;=0.25,"Bank hook in PLAYBOOK","Hold - watch next run")))</f>
        <v/>
      </c>
      <c r="V188" s="27"/>
    </row>
    <row r="189" customFormat="false" ht="15" hidden="false" customHeight="true" outlineLevel="0" collapsed="false">
      <c r="A189" s="25"/>
      <c r="B189" s="26" t="str">
        <f aca="false">IF($A189="","",TEXT($A189,"ddd"))</f>
        <v/>
      </c>
      <c r="C189" s="27"/>
      <c r="D189" s="27"/>
      <c r="E189" s="27"/>
      <c r="F189" s="27"/>
      <c r="G189" s="27"/>
      <c r="H189" s="27"/>
      <c r="I189" s="27"/>
      <c r="J189" s="27"/>
      <c r="K189" s="28" t="str">
        <f aca="false">IF(OR($I189="",$J189=""),"",IFERROR($J189/$I189,""))</f>
        <v/>
      </c>
      <c r="L189" s="27"/>
      <c r="M189" s="27"/>
      <c r="N189" s="28" t="str">
        <f aca="false">IF(OR($L189="",$M189=""),"",IFERROR($L189/$M189,""))</f>
        <v/>
      </c>
      <c r="O189" s="27"/>
      <c r="P189" s="27"/>
      <c r="Q189" s="27"/>
      <c r="R189" s="27"/>
      <c r="S189" s="27"/>
      <c r="T189" s="26" t="str">
        <f aca="false">IF($K189="","",IF($K189&gt;=0.25,"WIN",IF($K189&gt;=0.2,"OK","FAIL")))</f>
        <v/>
      </c>
      <c r="U189" s="26" t="str">
        <f aca="false">IF($K189="","",IF($K189&lt;0.2,"REPOST WITH HOOK B",IF($K189&gt;=0.25,"Bank hook in PLAYBOOK","Hold - watch next run")))</f>
        <v/>
      </c>
      <c r="V189" s="27"/>
    </row>
    <row r="190" customFormat="false" ht="15" hidden="false" customHeight="true" outlineLevel="0" collapsed="false">
      <c r="A190" s="25"/>
      <c r="B190" s="26" t="str">
        <f aca="false">IF($A190="","",TEXT($A190,"ddd"))</f>
        <v/>
      </c>
      <c r="C190" s="27"/>
      <c r="D190" s="27"/>
      <c r="E190" s="27"/>
      <c r="F190" s="27"/>
      <c r="G190" s="27"/>
      <c r="H190" s="27"/>
      <c r="I190" s="27"/>
      <c r="J190" s="27"/>
      <c r="K190" s="28" t="str">
        <f aca="false">IF(OR($I190="",$J190=""),"",IFERROR($J190/$I190,""))</f>
        <v/>
      </c>
      <c r="L190" s="27"/>
      <c r="M190" s="27"/>
      <c r="N190" s="28" t="str">
        <f aca="false">IF(OR($L190="",$M190=""),"",IFERROR($L190/$M190,""))</f>
        <v/>
      </c>
      <c r="O190" s="27"/>
      <c r="P190" s="27"/>
      <c r="Q190" s="27"/>
      <c r="R190" s="27"/>
      <c r="S190" s="27"/>
      <c r="T190" s="26" t="str">
        <f aca="false">IF($K190="","",IF($K190&gt;=0.25,"WIN",IF($K190&gt;=0.2,"OK","FAIL")))</f>
        <v/>
      </c>
      <c r="U190" s="26" t="str">
        <f aca="false">IF($K190="","",IF($K190&lt;0.2,"REPOST WITH HOOK B",IF($K190&gt;=0.25,"Bank hook in PLAYBOOK","Hold - watch next run")))</f>
        <v/>
      </c>
      <c r="V190" s="27"/>
    </row>
    <row r="191" customFormat="false" ht="15" hidden="false" customHeight="true" outlineLevel="0" collapsed="false">
      <c r="A191" s="25"/>
      <c r="B191" s="26" t="str">
        <f aca="false">IF($A191="","",TEXT($A191,"ddd"))</f>
        <v/>
      </c>
      <c r="C191" s="27"/>
      <c r="D191" s="27"/>
      <c r="E191" s="27"/>
      <c r="F191" s="27"/>
      <c r="G191" s="27"/>
      <c r="H191" s="27"/>
      <c r="I191" s="27"/>
      <c r="J191" s="27"/>
      <c r="K191" s="28" t="str">
        <f aca="false">IF(OR($I191="",$J191=""),"",IFERROR($J191/$I191,""))</f>
        <v/>
      </c>
      <c r="L191" s="27"/>
      <c r="M191" s="27"/>
      <c r="N191" s="28" t="str">
        <f aca="false">IF(OR($L191="",$M191=""),"",IFERROR($L191/$M191,""))</f>
        <v/>
      </c>
      <c r="O191" s="27"/>
      <c r="P191" s="27"/>
      <c r="Q191" s="27"/>
      <c r="R191" s="27"/>
      <c r="S191" s="27"/>
      <c r="T191" s="26" t="str">
        <f aca="false">IF($K191="","",IF($K191&gt;=0.25,"WIN",IF($K191&gt;=0.2,"OK","FAIL")))</f>
        <v/>
      </c>
      <c r="U191" s="26" t="str">
        <f aca="false">IF($K191="","",IF($K191&lt;0.2,"REPOST WITH HOOK B",IF($K191&gt;=0.25,"Bank hook in PLAYBOOK","Hold - watch next run")))</f>
        <v/>
      </c>
      <c r="V191" s="27"/>
    </row>
    <row r="192" customFormat="false" ht="15" hidden="false" customHeight="true" outlineLevel="0" collapsed="false">
      <c r="A192" s="25"/>
      <c r="B192" s="26" t="str">
        <f aca="false">IF($A192="","",TEXT($A192,"ddd"))</f>
        <v/>
      </c>
      <c r="C192" s="27"/>
      <c r="D192" s="27"/>
      <c r="E192" s="27"/>
      <c r="F192" s="27"/>
      <c r="G192" s="27"/>
      <c r="H192" s="27"/>
      <c r="I192" s="27"/>
      <c r="J192" s="27"/>
      <c r="K192" s="28" t="str">
        <f aca="false">IF(OR($I192="",$J192=""),"",IFERROR($J192/$I192,""))</f>
        <v/>
      </c>
      <c r="L192" s="27"/>
      <c r="M192" s="27"/>
      <c r="N192" s="28" t="str">
        <f aca="false">IF(OR($L192="",$M192=""),"",IFERROR($L192/$M192,""))</f>
        <v/>
      </c>
      <c r="O192" s="27"/>
      <c r="P192" s="27"/>
      <c r="Q192" s="27"/>
      <c r="R192" s="27"/>
      <c r="S192" s="27"/>
      <c r="T192" s="26" t="str">
        <f aca="false">IF($K192="","",IF($K192&gt;=0.25,"WIN",IF($K192&gt;=0.2,"OK","FAIL")))</f>
        <v/>
      </c>
      <c r="U192" s="26" t="str">
        <f aca="false">IF($K192="","",IF($K192&lt;0.2,"REPOST WITH HOOK B",IF($K192&gt;=0.25,"Bank hook in PLAYBOOK","Hold - watch next run")))</f>
        <v/>
      </c>
      <c r="V192" s="27"/>
    </row>
    <row r="193" customFormat="false" ht="15" hidden="false" customHeight="true" outlineLevel="0" collapsed="false">
      <c r="A193" s="25"/>
      <c r="B193" s="26" t="str">
        <f aca="false">IF($A193="","",TEXT($A193,"ddd"))</f>
        <v/>
      </c>
      <c r="C193" s="27"/>
      <c r="D193" s="27"/>
      <c r="E193" s="27"/>
      <c r="F193" s="27"/>
      <c r="G193" s="27"/>
      <c r="H193" s="27"/>
      <c r="I193" s="27"/>
      <c r="J193" s="27"/>
      <c r="K193" s="28" t="str">
        <f aca="false">IF(OR($I193="",$J193=""),"",IFERROR($J193/$I193,""))</f>
        <v/>
      </c>
      <c r="L193" s="27"/>
      <c r="M193" s="27"/>
      <c r="N193" s="28" t="str">
        <f aca="false">IF(OR($L193="",$M193=""),"",IFERROR($L193/$M193,""))</f>
        <v/>
      </c>
      <c r="O193" s="27"/>
      <c r="P193" s="27"/>
      <c r="Q193" s="27"/>
      <c r="R193" s="27"/>
      <c r="S193" s="27"/>
      <c r="T193" s="26" t="str">
        <f aca="false">IF($K193="","",IF($K193&gt;=0.25,"WIN",IF($K193&gt;=0.2,"OK","FAIL")))</f>
        <v/>
      </c>
      <c r="U193" s="26" t="str">
        <f aca="false">IF($K193="","",IF($K193&lt;0.2,"REPOST WITH HOOK B",IF($K193&gt;=0.25,"Bank hook in PLAYBOOK","Hold - watch next run")))</f>
        <v/>
      </c>
      <c r="V193" s="27"/>
    </row>
    <row r="194" customFormat="false" ht="15" hidden="false" customHeight="true" outlineLevel="0" collapsed="false">
      <c r="A194" s="25"/>
      <c r="B194" s="26" t="str">
        <f aca="false">IF($A194="","",TEXT($A194,"ddd"))</f>
        <v/>
      </c>
      <c r="C194" s="27"/>
      <c r="D194" s="27"/>
      <c r="E194" s="27"/>
      <c r="F194" s="27"/>
      <c r="G194" s="27"/>
      <c r="H194" s="27"/>
      <c r="I194" s="27"/>
      <c r="J194" s="27"/>
      <c r="K194" s="28" t="str">
        <f aca="false">IF(OR($I194="",$J194=""),"",IFERROR($J194/$I194,""))</f>
        <v/>
      </c>
      <c r="L194" s="27"/>
      <c r="M194" s="27"/>
      <c r="N194" s="28" t="str">
        <f aca="false">IF(OR($L194="",$M194=""),"",IFERROR($L194/$M194,""))</f>
        <v/>
      </c>
      <c r="O194" s="27"/>
      <c r="P194" s="27"/>
      <c r="Q194" s="27"/>
      <c r="R194" s="27"/>
      <c r="S194" s="27"/>
      <c r="T194" s="26" t="str">
        <f aca="false">IF($K194="","",IF($K194&gt;=0.25,"WIN",IF($K194&gt;=0.2,"OK","FAIL")))</f>
        <v/>
      </c>
      <c r="U194" s="26" t="str">
        <f aca="false">IF($K194="","",IF($K194&lt;0.2,"REPOST WITH HOOK B",IF($K194&gt;=0.25,"Bank hook in PLAYBOOK","Hold - watch next run")))</f>
        <v/>
      </c>
      <c r="V194" s="27"/>
    </row>
    <row r="195" customFormat="false" ht="15" hidden="false" customHeight="true" outlineLevel="0" collapsed="false">
      <c r="A195" s="25"/>
      <c r="B195" s="26" t="str">
        <f aca="false">IF($A195="","",TEXT($A195,"ddd"))</f>
        <v/>
      </c>
      <c r="C195" s="27"/>
      <c r="D195" s="27"/>
      <c r="E195" s="27"/>
      <c r="F195" s="27"/>
      <c r="G195" s="27"/>
      <c r="H195" s="27"/>
      <c r="I195" s="27"/>
      <c r="J195" s="27"/>
      <c r="K195" s="28" t="str">
        <f aca="false">IF(OR($I195="",$J195=""),"",IFERROR($J195/$I195,""))</f>
        <v/>
      </c>
      <c r="L195" s="27"/>
      <c r="M195" s="27"/>
      <c r="N195" s="28" t="str">
        <f aca="false">IF(OR($L195="",$M195=""),"",IFERROR($L195/$M195,""))</f>
        <v/>
      </c>
      <c r="O195" s="27"/>
      <c r="P195" s="27"/>
      <c r="Q195" s="27"/>
      <c r="R195" s="27"/>
      <c r="S195" s="27"/>
      <c r="T195" s="26" t="str">
        <f aca="false">IF($K195="","",IF($K195&gt;=0.25,"WIN",IF($K195&gt;=0.2,"OK","FAIL")))</f>
        <v/>
      </c>
      <c r="U195" s="26" t="str">
        <f aca="false">IF($K195="","",IF($K195&lt;0.2,"REPOST WITH HOOK B",IF($K195&gt;=0.25,"Bank hook in PLAYBOOK","Hold - watch next run")))</f>
        <v/>
      </c>
      <c r="V195" s="27"/>
    </row>
    <row r="196" customFormat="false" ht="15" hidden="false" customHeight="true" outlineLevel="0" collapsed="false">
      <c r="A196" s="25"/>
      <c r="B196" s="26" t="str">
        <f aca="false">IF($A196="","",TEXT($A196,"ddd"))</f>
        <v/>
      </c>
      <c r="C196" s="27"/>
      <c r="D196" s="27"/>
      <c r="E196" s="27"/>
      <c r="F196" s="27"/>
      <c r="G196" s="27"/>
      <c r="H196" s="27"/>
      <c r="I196" s="27"/>
      <c r="J196" s="27"/>
      <c r="K196" s="28" t="str">
        <f aca="false">IF(OR($I196="",$J196=""),"",IFERROR($J196/$I196,""))</f>
        <v/>
      </c>
      <c r="L196" s="27"/>
      <c r="M196" s="27"/>
      <c r="N196" s="28" t="str">
        <f aca="false">IF(OR($L196="",$M196=""),"",IFERROR($L196/$M196,""))</f>
        <v/>
      </c>
      <c r="O196" s="27"/>
      <c r="P196" s="27"/>
      <c r="Q196" s="27"/>
      <c r="R196" s="27"/>
      <c r="S196" s="27"/>
      <c r="T196" s="26" t="str">
        <f aca="false">IF($K196="","",IF($K196&gt;=0.25,"WIN",IF($K196&gt;=0.2,"OK","FAIL")))</f>
        <v/>
      </c>
      <c r="U196" s="26" t="str">
        <f aca="false">IF($K196="","",IF($K196&lt;0.2,"REPOST WITH HOOK B",IF($K196&gt;=0.25,"Bank hook in PLAYBOOK","Hold - watch next run")))</f>
        <v/>
      </c>
      <c r="V196" s="27"/>
    </row>
    <row r="197" customFormat="false" ht="15" hidden="false" customHeight="true" outlineLevel="0" collapsed="false">
      <c r="A197" s="25"/>
      <c r="B197" s="26" t="str">
        <f aca="false">IF($A197="","",TEXT($A197,"ddd"))</f>
        <v/>
      </c>
      <c r="C197" s="27"/>
      <c r="D197" s="27"/>
      <c r="E197" s="27"/>
      <c r="F197" s="27"/>
      <c r="G197" s="27"/>
      <c r="H197" s="27"/>
      <c r="I197" s="27"/>
      <c r="J197" s="27"/>
      <c r="K197" s="28" t="str">
        <f aca="false">IF(OR($I197="",$J197=""),"",IFERROR($J197/$I197,""))</f>
        <v/>
      </c>
      <c r="L197" s="27"/>
      <c r="M197" s="27"/>
      <c r="N197" s="28" t="str">
        <f aca="false">IF(OR($L197="",$M197=""),"",IFERROR($L197/$M197,""))</f>
        <v/>
      </c>
      <c r="O197" s="27"/>
      <c r="P197" s="27"/>
      <c r="Q197" s="27"/>
      <c r="R197" s="27"/>
      <c r="S197" s="27"/>
      <c r="T197" s="26" t="str">
        <f aca="false">IF($K197="","",IF($K197&gt;=0.25,"WIN",IF($K197&gt;=0.2,"OK","FAIL")))</f>
        <v/>
      </c>
      <c r="U197" s="26" t="str">
        <f aca="false">IF($K197="","",IF($K197&lt;0.2,"REPOST WITH HOOK B",IF($K197&gt;=0.25,"Bank hook in PLAYBOOK","Hold - watch next run")))</f>
        <v/>
      </c>
      <c r="V197" s="27"/>
    </row>
    <row r="198" customFormat="false" ht="15" hidden="false" customHeight="true" outlineLevel="0" collapsed="false">
      <c r="A198" s="25"/>
      <c r="B198" s="26" t="str">
        <f aca="false">IF($A198="","",TEXT($A198,"ddd"))</f>
        <v/>
      </c>
      <c r="C198" s="27"/>
      <c r="D198" s="27"/>
      <c r="E198" s="27"/>
      <c r="F198" s="27"/>
      <c r="G198" s="27"/>
      <c r="H198" s="27"/>
      <c r="I198" s="27"/>
      <c r="J198" s="27"/>
      <c r="K198" s="28" t="str">
        <f aca="false">IF(OR($I198="",$J198=""),"",IFERROR($J198/$I198,""))</f>
        <v/>
      </c>
      <c r="L198" s="27"/>
      <c r="M198" s="27"/>
      <c r="N198" s="28" t="str">
        <f aca="false">IF(OR($L198="",$M198=""),"",IFERROR($L198/$M198,""))</f>
        <v/>
      </c>
      <c r="O198" s="27"/>
      <c r="P198" s="27"/>
      <c r="Q198" s="27"/>
      <c r="R198" s="27"/>
      <c r="S198" s="27"/>
      <c r="T198" s="26" t="str">
        <f aca="false">IF($K198="","",IF($K198&gt;=0.25,"WIN",IF($K198&gt;=0.2,"OK","FAIL")))</f>
        <v/>
      </c>
      <c r="U198" s="26" t="str">
        <f aca="false">IF($K198="","",IF($K198&lt;0.2,"REPOST WITH HOOK B",IF($K198&gt;=0.25,"Bank hook in PLAYBOOK","Hold - watch next run")))</f>
        <v/>
      </c>
      <c r="V198" s="27"/>
    </row>
    <row r="199" customFormat="false" ht="15" hidden="false" customHeight="true" outlineLevel="0" collapsed="false">
      <c r="A199" s="25"/>
      <c r="B199" s="26" t="str">
        <f aca="false">IF($A199="","",TEXT($A199,"ddd"))</f>
        <v/>
      </c>
      <c r="C199" s="27"/>
      <c r="D199" s="27"/>
      <c r="E199" s="27"/>
      <c r="F199" s="27"/>
      <c r="G199" s="27"/>
      <c r="H199" s="27"/>
      <c r="I199" s="27"/>
      <c r="J199" s="27"/>
      <c r="K199" s="28" t="str">
        <f aca="false">IF(OR($I199="",$J199=""),"",IFERROR($J199/$I199,""))</f>
        <v/>
      </c>
      <c r="L199" s="27"/>
      <c r="M199" s="27"/>
      <c r="N199" s="28" t="str">
        <f aca="false">IF(OR($L199="",$M199=""),"",IFERROR($L199/$M199,""))</f>
        <v/>
      </c>
      <c r="O199" s="27"/>
      <c r="P199" s="27"/>
      <c r="Q199" s="27"/>
      <c r="R199" s="27"/>
      <c r="S199" s="27"/>
      <c r="T199" s="26" t="str">
        <f aca="false">IF($K199="","",IF($K199&gt;=0.25,"WIN",IF($K199&gt;=0.2,"OK","FAIL")))</f>
        <v/>
      </c>
      <c r="U199" s="26" t="str">
        <f aca="false">IF($K199="","",IF($K199&lt;0.2,"REPOST WITH HOOK B",IF($K199&gt;=0.25,"Bank hook in PLAYBOOK","Hold - watch next run")))</f>
        <v/>
      </c>
      <c r="V199" s="27"/>
    </row>
    <row r="200" customFormat="false" ht="15" hidden="false" customHeight="true" outlineLevel="0" collapsed="false">
      <c r="A200" s="25"/>
      <c r="B200" s="26" t="str">
        <f aca="false">IF($A200="","",TEXT($A200,"ddd"))</f>
        <v/>
      </c>
      <c r="C200" s="27"/>
      <c r="D200" s="27"/>
      <c r="E200" s="27"/>
      <c r="F200" s="27"/>
      <c r="G200" s="27"/>
      <c r="H200" s="27"/>
      <c r="I200" s="27"/>
      <c r="J200" s="27"/>
      <c r="K200" s="28" t="str">
        <f aca="false">IF(OR($I200="",$J200=""),"",IFERROR($J200/$I200,""))</f>
        <v/>
      </c>
      <c r="L200" s="27"/>
      <c r="M200" s="27"/>
      <c r="N200" s="28" t="str">
        <f aca="false">IF(OR($L200="",$M200=""),"",IFERROR($L200/$M200,""))</f>
        <v/>
      </c>
      <c r="O200" s="27"/>
      <c r="P200" s="27"/>
      <c r="Q200" s="27"/>
      <c r="R200" s="27"/>
      <c r="S200" s="27"/>
      <c r="T200" s="26" t="str">
        <f aca="false">IF($K200="","",IF($K200&gt;=0.25,"WIN",IF($K200&gt;=0.2,"OK","FAIL")))</f>
        <v/>
      </c>
      <c r="U200" s="26" t="str">
        <f aca="false">IF($K200="","",IF($K200&lt;0.2,"REPOST WITH HOOK B",IF($K200&gt;=0.25,"Bank hook in PLAYBOOK","Hold - watch next run")))</f>
        <v/>
      </c>
      <c r="V200" s="27"/>
    </row>
    <row r="201" customFormat="false" ht="15" hidden="false" customHeight="true" outlineLevel="0" collapsed="false">
      <c r="A201" s="25"/>
      <c r="B201" s="26" t="str">
        <f aca="false">IF($A201="","",TEXT($A201,"ddd"))</f>
        <v/>
      </c>
      <c r="C201" s="27"/>
      <c r="D201" s="27"/>
      <c r="E201" s="27"/>
      <c r="F201" s="27"/>
      <c r="G201" s="27"/>
      <c r="H201" s="27"/>
      <c r="I201" s="27"/>
      <c r="J201" s="27"/>
      <c r="K201" s="28" t="str">
        <f aca="false">IF(OR($I201="",$J201=""),"",IFERROR($J201/$I201,""))</f>
        <v/>
      </c>
      <c r="L201" s="27"/>
      <c r="M201" s="27"/>
      <c r="N201" s="28" t="str">
        <f aca="false">IF(OR($L201="",$M201=""),"",IFERROR($L201/$M201,""))</f>
        <v/>
      </c>
      <c r="O201" s="27"/>
      <c r="P201" s="27"/>
      <c r="Q201" s="27"/>
      <c r="R201" s="27"/>
      <c r="S201" s="27"/>
      <c r="T201" s="26" t="str">
        <f aca="false">IF($K201="","",IF($K201&gt;=0.25,"WIN",IF($K201&gt;=0.2,"OK","FAIL")))</f>
        <v/>
      </c>
      <c r="U201" s="26" t="str">
        <f aca="false">IF($K201="","",IF($K201&lt;0.2,"REPOST WITH HOOK B",IF($K201&gt;=0.25,"Bank hook in PLAYBOOK","Hold - watch next run")))</f>
        <v/>
      </c>
      <c r="V201" s="27"/>
    </row>
    <row r="202" customFormat="false" ht="15" hidden="false" customHeight="true" outlineLevel="0" collapsed="false">
      <c r="A202" s="25"/>
      <c r="B202" s="26" t="str">
        <f aca="false">IF($A202="","",TEXT($A202,"ddd"))</f>
        <v/>
      </c>
      <c r="C202" s="27"/>
      <c r="D202" s="27"/>
      <c r="E202" s="27"/>
      <c r="F202" s="27"/>
      <c r="G202" s="27"/>
      <c r="H202" s="27"/>
      <c r="I202" s="27"/>
      <c r="J202" s="27"/>
      <c r="K202" s="28" t="str">
        <f aca="false">IF(OR($I202="",$J202=""),"",IFERROR($J202/$I202,""))</f>
        <v/>
      </c>
      <c r="L202" s="27"/>
      <c r="M202" s="27"/>
      <c r="N202" s="28" t="str">
        <f aca="false">IF(OR($L202="",$M202=""),"",IFERROR($L202/$M202,""))</f>
        <v/>
      </c>
      <c r="O202" s="27"/>
      <c r="P202" s="27"/>
      <c r="Q202" s="27"/>
      <c r="R202" s="27"/>
      <c r="S202" s="27"/>
      <c r="T202" s="26" t="str">
        <f aca="false">IF($K202="","",IF($K202&gt;=0.25,"WIN",IF($K202&gt;=0.2,"OK","FAIL")))</f>
        <v/>
      </c>
      <c r="U202" s="26" t="str">
        <f aca="false">IF($K202="","",IF($K202&lt;0.2,"REPOST WITH HOOK B",IF($K202&gt;=0.25,"Bank hook in PLAYBOOK","Hold - watch next run")))</f>
        <v/>
      </c>
      <c r="V202" s="27"/>
    </row>
    <row r="203" customFormat="false" ht="15" hidden="false" customHeight="true" outlineLevel="0" collapsed="false">
      <c r="A203" s="25"/>
      <c r="B203" s="26" t="str">
        <f aca="false">IF($A203="","",TEXT($A203,"ddd"))</f>
        <v/>
      </c>
      <c r="C203" s="27"/>
      <c r="D203" s="27"/>
      <c r="E203" s="27"/>
      <c r="F203" s="27"/>
      <c r="G203" s="27"/>
      <c r="H203" s="27"/>
      <c r="I203" s="27"/>
      <c r="J203" s="27"/>
      <c r="K203" s="28" t="str">
        <f aca="false">IF(OR($I203="",$J203=""),"",IFERROR($J203/$I203,""))</f>
        <v/>
      </c>
      <c r="L203" s="27"/>
      <c r="M203" s="27"/>
      <c r="N203" s="28" t="str">
        <f aca="false">IF(OR($L203="",$M203=""),"",IFERROR($L203/$M203,""))</f>
        <v/>
      </c>
      <c r="O203" s="27"/>
      <c r="P203" s="27"/>
      <c r="Q203" s="27"/>
      <c r="R203" s="27"/>
      <c r="S203" s="27"/>
      <c r="T203" s="26" t="str">
        <f aca="false">IF($K203="","",IF($K203&gt;=0.25,"WIN",IF($K203&gt;=0.2,"OK","FAIL")))</f>
        <v/>
      </c>
      <c r="U203" s="26" t="str">
        <f aca="false">IF($K203="","",IF($K203&lt;0.2,"REPOST WITH HOOK B",IF($K203&gt;=0.25,"Bank hook in PLAYBOOK","Hold - watch next run")))</f>
        <v/>
      </c>
      <c r="V203" s="27"/>
    </row>
  </sheetData>
  <mergeCells count="2">
    <mergeCell ref="A1:V1"/>
    <mergeCell ref="A2:V2"/>
  </mergeCells>
  <conditionalFormatting sqref="K4:K203">
    <cfRule type="cellIs" priority="2" operator="greaterThanOrEqual" aboveAverage="0" equalAverage="0" bottom="0" percent="0" rank="0" text="" dxfId="1">
      <formula>0.25</formula>
    </cfRule>
    <cfRule type="cellIs" priority="3" operator="lessThan" aboveAverage="0" equalAverage="0" bottom="0" percent="0" rank="0" text="" dxfId="2">
      <formula>0.2</formula>
    </cfRule>
  </conditionalFormatting>
  <conditionalFormatting sqref="T4:T203">
    <cfRule type="cellIs" priority="4" operator="equal" aboveAverage="0" equalAverage="0" bottom="0" percent="0" rank="0" text="" dxfId="3">
      <formula>"WIN"</formula>
    </cfRule>
    <cfRule type="cellIs" priority="5" operator="equal" aboveAverage="0" equalAverage="0" bottom="0" percent="0" rank="0" text="" dxfId="4">
      <formula>"FAIL"</formula>
    </cfRule>
  </conditionalFormatting>
  <dataValidations count="4">
    <dataValidation allowBlank="true" errorStyle="stop" operator="between" showDropDown="false" showErrorMessage="false" showInputMessage="false" sqref="C4:C203" type="list">
      <formula1>"Reel,Carousel,Still+caption,Story set,Live,BTS,Group post"</formula1>
      <formula2>0</formula2>
    </dataValidation>
    <dataValidation allowBlank="true" errorStyle="stop" operator="between" showDropDown="false" showErrorMessage="false" showInputMessage="false" sqref="D4:D203" type="list">
      <formula1>"Education,Stock carousel,Trust/documents,Feature x Sabah,Comparison,Live/BTS,Social proof,Experiment"</formula1>
      <formula2>0</formula2>
    </dataValidation>
    <dataValidation allowBlank="true" errorStyle="stop" operator="between" showDropDown="false" showErrorMessage="false" showInputMessage="false" sqref="E4:E203" type="list">
      <formula1>"Price shock,Unanswered question,Bold claim,Everything on table,Cold sound,Mistake framing,Split screen,Mid-action start,Direct challenge,Unexpected character,Monthly-payment,Salary bracket"</formula1>
      <formula2>0</formula2>
    </dataValidation>
    <dataValidation allowBlank="true" errorStyle="stop" operator="between" showDropDown="false" showErrorMessage="false" showInputMessage="false" sqref="F4:F203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4" width="15"/>
    <col collapsed="false" customWidth="true" hidden="false" outlineLevel="0" max="2" min="2" style="24" width="9"/>
    <col collapsed="false" customWidth="true" hidden="false" outlineLevel="0" max="3" min="3" style="24" width="10"/>
    <col collapsed="false" customWidth="true" hidden="false" outlineLevel="0" max="4" min="4" style="24" width="11"/>
    <col collapsed="false" customWidth="true" hidden="false" outlineLevel="0" max="5" min="5" style="24" width="12"/>
    <col collapsed="false" customWidth="true" hidden="false" outlineLevel="0" max="6" min="6" style="24" width="13"/>
    <col collapsed="false" customWidth="true" hidden="false" outlineLevel="0" max="7" min="7" style="24" width="11"/>
    <col collapsed="false" customWidth="true" hidden="false" outlineLevel="0" max="8" min="8" style="24" width="12"/>
    <col collapsed="false" customWidth="true" hidden="false" outlineLevel="0" max="9" min="9" style="24" width="10"/>
    <col collapsed="false" customWidth="true" hidden="false" outlineLevel="0" max="10" min="10" style="24" width="14"/>
    <col collapsed="false" customWidth="true" hidden="false" outlineLevel="0" max="11" min="11" style="24" width="12"/>
    <col collapsed="false" customWidth="true" hidden="false" outlineLevel="0" max="12" min="12" style="24" width="20"/>
  </cols>
  <sheetData>
    <row r="1" customFormat="false" ht="24" hidden="false" customHeight="true" outlineLevel="0" collapsed="false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238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3.75" hidden="false" customHeight="true" outlineLevel="0" collapsed="false">
      <c r="A3" s="3" t="s">
        <v>239</v>
      </c>
      <c r="B3" s="3" t="s">
        <v>240</v>
      </c>
      <c r="C3" s="3" t="s">
        <v>223</v>
      </c>
      <c r="D3" s="3" t="s">
        <v>39</v>
      </c>
      <c r="E3" s="3" t="s">
        <v>227</v>
      </c>
      <c r="F3" s="3" t="s">
        <v>241</v>
      </c>
      <c r="G3" s="3" t="s">
        <v>151</v>
      </c>
      <c r="H3" s="3" t="s">
        <v>242</v>
      </c>
      <c r="I3" s="3" t="s">
        <v>86</v>
      </c>
      <c r="J3" s="3" t="s">
        <v>243</v>
      </c>
      <c r="K3" s="3" t="s">
        <v>244</v>
      </c>
      <c r="L3" s="3" t="s">
        <v>245</v>
      </c>
    </row>
    <row r="4" customFormat="false" ht="15" hidden="false" customHeight="true" outlineLevel="0" collapsed="false">
      <c r="A4" s="25" t="n">
        <v>46258</v>
      </c>
      <c r="B4" s="26" t="n">
        <f aca="false">IF($A4="","",COUNTIFS('Post Log'!$A$4:$A$203,"&gt;="&amp;$A4,'Post Log'!$A$4:$A$203,"&lt;"&amp;$A4+7))</f>
        <v>1</v>
      </c>
      <c r="C4" s="26" t="n">
        <f aca="false">IF($A4="","",SUMIFS('Post Log'!$I$4:$I$203,'Post Log'!$A$4:$A$203,"&gt;="&amp;$A4,'Post Log'!$A$4:$A$203,"&lt;"&amp;$A4+7))</f>
        <v>1240</v>
      </c>
      <c r="D4" s="28" t="n">
        <f aca="false">IF(OR($A4="",SUMIFS('Post Log'!$I$4:$I$203,'Post Log'!$A$4:$A$203,"&gt;="&amp;$A4,'Post Log'!$A$4:$A$203,"&lt;"&amp;$A4+7)=0),"",SUMIFS('Post Log'!$J$4:$J$203,'Post Log'!$A$4:$A$203,"&gt;="&amp;$A4,'Post Log'!$A$4:$A$203,"&lt;"&amp;$A4+7)/SUMIFS('Post Log'!$I$4:$I$203,'Post Log'!$A$4:$A$203,"&gt;="&amp;$A4,'Post Log'!$A$4:$A$203,"&lt;"&amp;$A4+7))</f>
        <v>0.190322580645161</v>
      </c>
      <c r="E4" s="28" t="n">
        <f aca="false">IF(OR($A4="",SUMIFS('Post Log'!$M$4:$M$203,'Post Log'!$A$4:$A$203,"&gt;="&amp;$A4,'Post Log'!$A$4:$A$203,"&lt;"&amp;$A4+7)=0),"",SUMIFS('Post Log'!$L$4:$L$203,'Post Log'!$A$4:$A$203,"&gt;="&amp;$A4,'Post Log'!$A$4:$A$203,"&lt;"&amp;$A4+7)/SUMIFS('Post Log'!$M$4:$M$203,'Post Log'!$A$4:$A$203,"&gt;="&amp;$A4,'Post Log'!$A$4:$A$203,"&lt;"&amp;$A4+7))</f>
        <v>0.241379310344828</v>
      </c>
      <c r="F4" s="26" t="n">
        <f aca="false">IF($A4="","",SUMIFS('Post Log'!$O$4:$O$203,'Post Log'!$A$4:$A$203,"&gt;="&amp;$A4,'Post Log'!$A$4:$A$203,"&lt;"&amp;$A4+7)+SUMIFS('Post Log'!$P$4:$P$203,'Post Log'!$A$4:$A$203,"&gt;="&amp;$A4,'Post Log'!$A$4:$A$203,"&lt;"&amp;$A4+7))</f>
        <v>13</v>
      </c>
      <c r="G4" s="26" t="n">
        <f aca="false">IF($A4="","",SUMIFS('Post Log'!$Q$4:$Q$203,'Post Log'!$A$4:$A$203,"&gt;="&amp;$A4,'Post Log'!$A$4:$A$203,"&lt;"&amp;$A4+7))</f>
        <v>7</v>
      </c>
      <c r="H4" s="26" t="n">
        <f aca="false">IF($A4="","",SUMIFS('Post Log'!$R$4:$R$203,'Post Log'!$A$4:$A$203,"&gt;="&amp;$A4,'Post Log'!$A$4:$A$203,"&lt;"&amp;$A4+7))</f>
        <v>3</v>
      </c>
      <c r="I4" s="26" t="n">
        <f aca="false">IF($A4="","",SUMIFS('Post Log'!$S$4:$S$203,'Post Log'!$A$4:$A$203,"&gt;="&amp;$A4,'Post Log'!$A$4:$A$203,"&lt;"&amp;$A4+7))</f>
        <v>1</v>
      </c>
      <c r="J4" s="27" t="n">
        <v>75</v>
      </c>
      <c r="K4" s="27" t="n">
        <v>2</v>
      </c>
      <c r="L4" s="26" t="str">
        <f aca="false">IF($D4="","",IF($D4&gt;=Targets!$B$4,"ON TARGET",TEXT(Targets!$B$4-$D4,"0.0%")&amp;" to go"))</f>
        <v>1.0% to go</v>
      </c>
    </row>
    <row r="5" customFormat="false" ht="15" hidden="false" customHeight="true" outlineLevel="0" collapsed="false">
      <c r="A5" s="25"/>
      <c r="B5" s="26" t="str">
        <f aca="false">IF($A5="","",COUNTIFS('Post Log'!$A$4:$A$203,"&gt;="&amp;$A5,'Post Log'!$A$4:$A$203,"&lt;"&amp;$A5+7))</f>
        <v/>
      </c>
      <c r="C5" s="26" t="str">
        <f aca="false">IF($A5="","",SUMIFS('Post Log'!$I$4:$I$203,'Post Log'!$A$4:$A$203,"&gt;="&amp;$A5,'Post Log'!$A$4:$A$203,"&lt;"&amp;$A5+7))</f>
        <v/>
      </c>
      <c r="D5" s="28" t="str">
        <f aca="false">IF(OR($A5="",SUMIFS('Post Log'!$I$4:$I$203,'Post Log'!$A$4:$A$203,"&gt;="&amp;$A5,'Post Log'!$A$4:$A$203,"&lt;"&amp;$A5+7)=0),"",SUMIFS('Post Log'!$J$4:$J$203,'Post Log'!$A$4:$A$203,"&gt;="&amp;$A5,'Post Log'!$A$4:$A$203,"&lt;"&amp;$A5+7)/SUMIFS('Post Log'!$I$4:$I$203,'Post Log'!$A$4:$A$203,"&gt;="&amp;$A5,'Post Log'!$A$4:$A$203,"&lt;"&amp;$A5+7))</f>
        <v/>
      </c>
      <c r="E5" s="28" t="str">
        <f aca="false">IF(OR($A5="",SUMIFS('Post Log'!$M$4:$M$203,'Post Log'!$A$4:$A$203,"&gt;="&amp;$A5,'Post Log'!$A$4:$A$203,"&lt;"&amp;$A5+7)=0),"",SUMIFS('Post Log'!$L$4:$L$203,'Post Log'!$A$4:$A$203,"&gt;="&amp;$A5,'Post Log'!$A$4:$A$203,"&lt;"&amp;$A5+7)/SUMIFS('Post Log'!$M$4:$M$203,'Post Log'!$A$4:$A$203,"&gt;="&amp;$A5,'Post Log'!$A$4:$A$203,"&lt;"&amp;$A5+7))</f>
        <v/>
      </c>
      <c r="F5" s="26" t="str">
        <f aca="false">IF($A5="","",SUMIFS('Post Log'!$O$4:$O$203,'Post Log'!$A$4:$A$203,"&gt;="&amp;$A5,'Post Log'!$A$4:$A$203,"&lt;"&amp;$A5+7)+SUMIFS('Post Log'!$P$4:$P$203,'Post Log'!$A$4:$A$203,"&gt;="&amp;$A5,'Post Log'!$A$4:$A$203,"&lt;"&amp;$A5+7))</f>
        <v/>
      </c>
      <c r="G5" s="26" t="str">
        <f aca="false">IF($A5="","",SUMIFS('Post Log'!$Q$4:$Q$203,'Post Log'!$A$4:$A$203,"&gt;="&amp;$A5,'Post Log'!$A$4:$A$203,"&lt;"&amp;$A5+7))</f>
        <v/>
      </c>
      <c r="H5" s="26" t="str">
        <f aca="false">IF($A5="","",SUMIFS('Post Log'!$R$4:$R$203,'Post Log'!$A$4:$A$203,"&gt;="&amp;$A5,'Post Log'!$A$4:$A$203,"&lt;"&amp;$A5+7))</f>
        <v/>
      </c>
      <c r="I5" s="26" t="str">
        <f aca="false">IF($A5="","",SUMIFS('Post Log'!$S$4:$S$203,'Post Log'!$A$4:$A$203,"&gt;="&amp;$A5,'Post Log'!$A$4:$A$203,"&lt;"&amp;$A5+7))</f>
        <v/>
      </c>
      <c r="J5" s="27"/>
      <c r="K5" s="27"/>
      <c r="L5" s="26" t="str">
        <f aca="false">IF($D5="","",IF($D5&gt;=Targets!$B$4,"ON TARGET",TEXT(Targets!$B$4-$D5,"0.0%")&amp;" to go"))</f>
        <v/>
      </c>
    </row>
    <row r="6" customFormat="false" ht="15" hidden="false" customHeight="true" outlineLevel="0" collapsed="false">
      <c r="A6" s="25"/>
      <c r="B6" s="26" t="str">
        <f aca="false">IF($A6="","",COUNTIFS('Post Log'!$A$4:$A$203,"&gt;="&amp;$A6,'Post Log'!$A$4:$A$203,"&lt;"&amp;$A6+7))</f>
        <v/>
      </c>
      <c r="C6" s="26" t="str">
        <f aca="false">IF($A6="","",SUMIFS('Post Log'!$I$4:$I$203,'Post Log'!$A$4:$A$203,"&gt;="&amp;$A6,'Post Log'!$A$4:$A$203,"&lt;"&amp;$A6+7))</f>
        <v/>
      </c>
      <c r="D6" s="28" t="str">
        <f aca="false">IF(OR($A6="",SUMIFS('Post Log'!$I$4:$I$203,'Post Log'!$A$4:$A$203,"&gt;="&amp;$A6,'Post Log'!$A$4:$A$203,"&lt;"&amp;$A6+7)=0),"",SUMIFS('Post Log'!$J$4:$J$203,'Post Log'!$A$4:$A$203,"&gt;="&amp;$A6,'Post Log'!$A$4:$A$203,"&lt;"&amp;$A6+7)/SUMIFS('Post Log'!$I$4:$I$203,'Post Log'!$A$4:$A$203,"&gt;="&amp;$A6,'Post Log'!$A$4:$A$203,"&lt;"&amp;$A6+7))</f>
        <v/>
      </c>
      <c r="E6" s="28" t="str">
        <f aca="false">IF(OR($A6="",SUMIFS('Post Log'!$M$4:$M$203,'Post Log'!$A$4:$A$203,"&gt;="&amp;$A6,'Post Log'!$A$4:$A$203,"&lt;"&amp;$A6+7)=0),"",SUMIFS('Post Log'!$L$4:$L$203,'Post Log'!$A$4:$A$203,"&gt;="&amp;$A6,'Post Log'!$A$4:$A$203,"&lt;"&amp;$A6+7)/SUMIFS('Post Log'!$M$4:$M$203,'Post Log'!$A$4:$A$203,"&gt;="&amp;$A6,'Post Log'!$A$4:$A$203,"&lt;"&amp;$A6+7))</f>
        <v/>
      </c>
      <c r="F6" s="26" t="str">
        <f aca="false">IF($A6="","",SUMIFS('Post Log'!$O$4:$O$203,'Post Log'!$A$4:$A$203,"&gt;="&amp;$A6,'Post Log'!$A$4:$A$203,"&lt;"&amp;$A6+7)+SUMIFS('Post Log'!$P$4:$P$203,'Post Log'!$A$4:$A$203,"&gt;="&amp;$A6,'Post Log'!$A$4:$A$203,"&lt;"&amp;$A6+7))</f>
        <v/>
      </c>
      <c r="G6" s="26" t="str">
        <f aca="false">IF($A6="","",SUMIFS('Post Log'!$Q$4:$Q$203,'Post Log'!$A$4:$A$203,"&gt;="&amp;$A6,'Post Log'!$A$4:$A$203,"&lt;"&amp;$A6+7))</f>
        <v/>
      </c>
      <c r="H6" s="26" t="str">
        <f aca="false">IF($A6="","",SUMIFS('Post Log'!$R$4:$R$203,'Post Log'!$A$4:$A$203,"&gt;="&amp;$A6,'Post Log'!$A$4:$A$203,"&lt;"&amp;$A6+7))</f>
        <v/>
      </c>
      <c r="I6" s="26" t="str">
        <f aca="false">IF($A6="","",SUMIFS('Post Log'!$S$4:$S$203,'Post Log'!$A$4:$A$203,"&gt;="&amp;$A6,'Post Log'!$A$4:$A$203,"&lt;"&amp;$A6+7))</f>
        <v/>
      </c>
      <c r="J6" s="27"/>
      <c r="K6" s="27"/>
      <c r="L6" s="26" t="str">
        <f aca="false">IF($D6="","",IF($D6&gt;=Targets!$B$4,"ON TARGET",TEXT(Targets!$B$4-$D6,"0.0%")&amp;" to go"))</f>
        <v/>
      </c>
    </row>
    <row r="7" customFormat="false" ht="15" hidden="false" customHeight="true" outlineLevel="0" collapsed="false">
      <c r="A7" s="25"/>
      <c r="B7" s="26" t="str">
        <f aca="false">IF($A7="","",COUNTIFS('Post Log'!$A$4:$A$203,"&gt;="&amp;$A7,'Post Log'!$A$4:$A$203,"&lt;"&amp;$A7+7))</f>
        <v/>
      </c>
      <c r="C7" s="26" t="str">
        <f aca="false">IF($A7="","",SUMIFS('Post Log'!$I$4:$I$203,'Post Log'!$A$4:$A$203,"&gt;="&amp;$A7,'Post Log'!$A$4:$A$203,"&lt;"&amp;$A7+7))</f>
        <v/>
      </c>
      <c r="D7" s="28" t="str">
        <f aca="false">IF(OR($A7="",SUMIFS('Post Log'!$I$4:$I$203,'Post Log'!$A$4:$A$203,"&gt;="&amp;$A7,'Post Log'!$A$4:$A$203,"&lt;"&amp;$A7+7)=0),"",SUMIFS('Post Log'!$J$4:$J$203,'Post Log'!$A$4:$A$203,"&gt;="&amp;$A7,'Post Log'!$A$4:$A$203,"&lt;"&amp;$A7+7)/SUMIFS('Post Log'!$I$4:$I$203,'Post Log'!$A$4:$A$203,"&gt;="&amp;$A7,'Post Log'!$A$4:$A$203,"&lt;"&amp;$A7+7))</f>
        <v/>
      </c>
      <c r="E7" s="28" t="str">
        <f aca="false">IF(OR($A7="",SUMIFS('Post Log'!$M$4:$M$203,'Post Log'!$A$4:$A$203,"&gt;="&amp;$A7,'Post Log'!$A$4:$A$203,"&lt;"&amp;$A7+7)=0),"",SUMIFS('Post Log'!$L$4:$L$203,'Post Log'!$A$4:$A$203,"&gt;="&amp;$A7,'Post Log'!$A$4:$A$203,"&lt;"&amp;$A7+7)/SUMIFS('Post Log'!$M$4:$M$203,'Post Log'!$A$4:$A$203,"&gt;="&amp;$A7,'Post Log'!$A$4:$A$203,"&lt;"&amp;$A7+7))</f>
        <v/>
      </c>
      <c r="F7" s="26" t="str">
        <f aca="false">IF($A7="","",SUMIFS('Post Log'!$O$4:$O$203,'Post Log'!$A$4:$A$203,"&gt;="&amp;$A7,'Post Log'!$A$4:$A$203,"&lt;"&amp;$A7+7)+SUMIFS('Post Log'!$P$4:$P$203,'Post Log'!$A$4:$A$203,"&gt;="&amp;$A7,'Post Log'!$A$4:$A$203,"&lt;"&amp;$A7+7))</f>
        <v/>
      </c>
      <c r="G7" s="26" t="str">
        <f aca="false">IF($A7="","",SUMIFS('Post Log'!$Q$4:$Q$203,'Post Log'!$A$4:$A$203,"&gt;="&amp;$A7,'Post Log'!$A$4:$A$203,"&lt;"&amp;$A7+7))</f>
        <v/>
      </c>
      <c r="H7" s="26" t="str">
        <f aca="false">IF($A7="","",SUMIFS('Post Log'!$R$4:$R$203,'Post Log'!$A$4:$A$203,"&gt;="&amp;$A7,'Post Log'!$A$4:$A$203,"&lt;"&amp;$A7+7))</f>
        <v/>
      </c>
      <c r="I7" s="26" t="str">
        <f aca="false">IF($A7="","",SUMIFS('Post Log'!$S$4:$S$203,'Post Log'!$A$4:$A$203,"&gt;="&amp;$A7,'Post Log'!$A$4:$A$203,"&lt;"&amp;$A7+7))</f>
        <v/>
      </c>
      <c r="J7" s="27"/>
      <c r="K7" s="27"/>
      <c r="L7" s="26" t="str">
        <f aca="false">IF($D7="","",IF($D7&gt;=Targets!$B$4,"ON TARGET",TEXT(Targets!$B$4-$D7,"0.0%")&amp;" to go"))</f>
        <v/>
      </c>
    </row>
    <row r="8" customFormat="false" ht="15" hidden="false" customHeight="true" outlineLevel="0" collapsed="false">
      <c r="A8" s="25"/>
      <c r="B8" s="26" t="str">
        <f aca="false">IF($A8="","",COUNTIFS('Post Log'!$A$4:$A$203,"&gt;="&amp;$A8,'Post Log'!$A$4:$A$203,"&lt;"&amp;$A8+7))</f>
        <v/>
      </c>
      <c r="C8" s="26" t="str">
        <f aca="false">IF($A8="","",SUMIFS('Post Log'!$I$4:$I$203,'Post Log'!$A$4:$A$203,"&gt;="&amp;$A8,'Post Log'!$A$4:$A$203,"&lt;"&amp;$A8+7))</f>
        <v/>
      </c>
      <c r="D8" s="28" t="str">
        <f aca="false">IF(OR($A8="",SUMIFS('Post Log'!$I$4:$I$203,'Post Log'!$A$4:$A$203,"&gt;="&amp;$A8,'Post Log'!$A$4:$A$203,"&lt;"&amp;$A8+7)=0),"",SUMIFS('Post Log'!$J$4:$J$203,'Post Log'!$A$4:$A$203,"&gt;="&amp;$A8,'Post Log'!$A$4:$A$203,"&lt;"&amp;$A8+7)/SUMIFS('Post Log'!$I$4:$I$203,'Post Log'!$A$4:$A$203,"&gt;="&amp;$A8,'Post Log'!$A$4:$A$203,"&lt;"&amp;$A8+7))</f>
        <v/>
      </c>
      <c r="E8" s="28" t="str">
        <f aca="false">IF(OR($A8="",SUMIFS('Post Log'!$M$4:$M$203,'Post Log'!$A$4:$A$203,"&gt;="&amp;$A8,'Post Log'!$A$4:$A$203,"&lt;"&amp;$A8+7)=0),"",SUMIFS('Post Log'!$L$4:$L$203,'Post Log'!$A$4:$A$203,"&gt;="&amp;$A8,'Post Log'!$A$4:$A$203,"&lt;"&amp;$A8+7)/SUMIFS('Post Log'!$M$4:$M$203,'Post Log'!$A$4:$A$203,"&gt;="&amp;$A8,'Post Log'!$A$4:$A$203,"&lt;"&amp;$A8+7))</f>
        <v/>
      </c>
      <c r="F8" s="26" t="str">
        <f aca="false">IF($A8="","",SUMIFS('Post Log'!$O$4:$O$203,'Post Log'!$A$4:$A$203,"&gt;="&amp;$A8,'Post Log'!$A$4:$A$203,"&lt;"&amp;$A8+7)+SUMIFS('Post Log'!$P$4:$P$203,'Post Log'!$A$4:$A$203,"&gt;="&amp;$A8,'Post Log'!$A$4:$A$203,"&lt;"&amp;$A8+7))</f>
        <v/>
      </c>
      <c r="G8" s="26" t="str">
        <f aca="false">IF($A8="","",SUMIFS('Post Log'!$Q$4:$Q$203,'Post Log'!$A$4:$A$203,"&gt;="&amp;$A8,'Post Log'!$A$4:$A$203,"&lt;"&amp;$A8+7))</f>
        <v/>
      </c>
      <c r="H8" s="26" t="str">
        <f aca="false">IF($A8="","",SUMIFS('Post Log'!$R$4:$R$203,'Post Log'!$A$4:$A$203,"&gt;="&amp;$A8,'Post Log'!$A$4:$A$203,"&lt;"&amp;$A8+7))</f>
        <v/>
      </c>
      <c r="I8" s="26" t="str">
        <f aca="false">IF($A8="","",SUMIFS('Post Log'!$S$4:$S$203,'Post Log'!$A$4:$A$203,"&gt;="&amp;$A8,'Post Log'!$A$4:$A$203,"&lt;"&amp;$A8+7))</f>
        <v/>
      </c>
      <c r="J8" s="27"/>
      <c r="K8" s="27"/>
      <c r="L8" s="26" t="str">
        <f aca="false">IF($D8="","",IF($D8&gt;=Targets!$B$4,"ON TARGET",TEXT(Targets!$B$4-$D8,"0.0%")&amp;" to go"))</f>
        <v/>
      </c>
    </row>
    <row r="9" customFormat="false" ht="15" hidden="false" customHeight="true" outlineLevel="0" collapsed="false">
      <c r="A9" s="25"/>
      <c r="B9" s="26" t="str">
        <f aca="false">IF($A9="","",COUNTIFS('Post Log'!$A$4:$A$203,"&gt;="&amp;$A9,'Post Log'!$A$4:$A$203,"&lt;"&amp;$A9+7))</f>
        <v/>
      </c>
      <c r="C9" s="26" t="str">
        <f aca="false">IF($A9="","",SUMIFS('Post Log'!$I$4:$I$203,'Post Log'!$A$4:$A$203,"&gt;="&amp;$A9,'Post Log'!$A$4:$A$203,"&lt;"&amp;$A9+7))</f>
        <v/>
      </c>
      <c r="D9" s="28" t="str">
        <f aca="false">IF(OR($A9="",SUMIFS('Post Log'!$I$4:$I$203,'Post Log'!$A$4:$A$203,"&gt;="&amp;$A9,'Post Log'!$A$4:$A$203,"&lt;"&amp;$A9+7)=0),"",SUMIFS('Post Log'!$J$4:$J$203,'Post Log'!$A$4:$A$203,"&gt;="&amp;$A9,'Post Log'!$A$4:$A$203,"&lt;"&amp;$A9+7)/SUMIFS('Post Log'!$I$4:$I$203,'Post Log'!$A$4:$A$203,"&gt;="&amp;$A9,'Post Log'!$A$4:$A$203,"&lt;"&amp;$A9+7))</f>
        <v/>
      </c>
      <c r="E9" s="28" t="str">
        <f aca="false">IF(OR($A9="",SUMIFS('Post Log'!$M$4:$M$203,'Post Log'!$A$4:$A$203,"&gt;="&amp;$A9,'Post Log'!$A$4:$A$203,"&lt;"&amp;$A9+7)=0),"",SUMIFS('Post Log'!$L$4:$L$203,'Post Log'!$A$4:$A$203,"&gt;="&amp;$A9,'Post Log'!$A$4:$A$203,"&lt;"&amp;$A9+7)/SUMIFS('Post Log'!$M$4:$M$203,'Post Log'!$A$4:$A$203,"&gt;="&amp;$A9,'Post Log'!$A$4:$A$203,"&lt;"&amp;$A9+7))</f>
        <v/>
      </c>
      <c r="F9" s="26" t="str">
        <f aca="false">IF($A9="","",SUMIFS('Post Log'!$O$4:$O$203,'Post Log'!$A$4:$A$203,"&gt;="&amp;$A9,'Post Log'!$A$4:$A$203,"&lt;"&amp;$A9+7)+SUMIFS('Post Log'!$P$4:$P$203,'Post Log'!$A$4:$A$203,"&gt;="&amp;$A9,'Post Log'!$A$4:$A$203,"&lt;"&amp;$A9+7))</f>
        <v/>
      </c>
      <c r="G9" s="26" t="str">
        <f aca="false">IF($A9="","",SUMIFS('Post Log'!$Q$4:$Q$203,'Post Log'!$A$4:$A$203,"&gt;="&amp;$A9,'Post Log'!$A$4:$A$203,"&lt;"&amp;$A9+7))</f>
        <v/>
      </c>
      <c r="H9" s="26" t="str">
        <f aca="false">IF($A9="","",SUMIFS('Post Log'!$R$4:$R$203,'Post Log'!$A$4:$A$203,"&gt;="&amp;$A9,'Post Log'!$A$4:$A$203,"&lt;"&amp;$A9+7))</f>
        <v/>
      </c>
      <c r="I9" s="26" t="str">
        <f aca="false">IF($A9="","",SUMIFS('Post Log'!$S$4:$S$203,'Post Log'!$A$4:$A$203,"&gt;="&amp;$A9,'Post Log'!$A$4:$A$203,"&lt;"&amp;$A9+7))</f>
        <v/>
      </c>
      <c r="J9" s="27"/>
      <c r="K9" s="27"/>
      <c r="L9" s="26" t="str">
        <f aca="false">IF($D9="","",IF($D9&gt;=Targets!$B$4,"ON TARGET",TEXT(Targets!$B$4-$D9,"0.0%")&amp;" to go"))</f>
        <v/>
      </c>
    </row>
    <row r="10" customFormat="false" ht="15" hidden="false" customHeight="true" outlineLevel="0" collapsed="false">
      <c r="A10" s="25"/>
      <c r="B10" s="26" t="str">
        <f aca="false">IF($A10="","",COUNTIFS('Post Log'!$A$4:$A$203,"&gt;="&amp;$A10,'Post Log'!$A$4:$A$203,"&lt;"&amp;$A10+7))</f>
        <v/>
      </c>
      <c r="C10" s="26" t="str">
        <f aca="false">IF($A10="","",SUMIFS('Post Log'!$I$4:$I$203,'Post Log'!$A$4:$A$203,"&gt;="&amp;$A10,'Post Log'!$A$4:$A$203,"&lt;"&amp;$A10+7))</f>
        <v/>
      </c>
      <c r="D10" s="28" t="str">
        <f aca="false">IF(OR($A10="",SUMIFS('Post Log'!$I$4:$I$203,'Post Log'!$A$4:$A$203,"&gt;="&amp;$A10,'Post Log'!$A$4:$A$203,"&lt;"&amp;$A10+7)=0),"",SUMIFS('Post Log'!$J$4:$J$203,'Post Log'!$A$4:$A$203,"&gt;="&amp;$A10,'Post Log'!$A$4:$A$203,"&lt;"&amp;$A10+7)/SUMIFS('Post Log'!$I$4:$I$203,'Post Log'!$A$4:$A$203,"&gt;="&amp;$A10,'Post Log'!$A$4:$A$203,"&lt;"&amp;$A10+7))</f>
        <v/>
      </c>
      <c r="E10" s="28" t="str">
        <f aca="false">IF(OR($A10="",SUMIFS('Post Log'!$M$4:$M$203,'Post Log'!$A$4:$A$203,"&gt;="&amp;$A10,'Post Log'!$A$4:$A$203,"&lt;"&amp;$A10+7)=0),"",SUMIFS('Post Log'!$L$4:$L$203,'Post Log'!$A$4:$A$203,"&gt;="&amp;$A10,'Post Log'!$A$4:$A$203,"&lt;"&amp;$A10+7)/SUMIFS('Post Log'!$M$4:$M$203,'Post Log'!$A$4:$A$203,"&gt;="&amp;$A10,'Post Log'!$A$4:$A$203,"&lt;"&amp;$A10+7))</f>
        <v/>
      </c>
      <c r="F10" s="26" t="str">
        <f aca="false">IF($A10="","",SUMIFS('Post Log'!$O$4:$O$203,'Post Log'!$A$4:$A$203,"&gt;="&amp;$A10,'Post Log'!$A$4:$A$203,"&lt;"&amp;$A10+7)+SUMIFS('Post Log'!$P$4:$P$203,'Post Log'!$A$4:$A$203,"&gt;="&amp;$A10,'Post Log'!$A$4:$A$203,"&lt;"&amp;$A10+7))</f>
        <v/>
      </c>
      <c r="G10" s="26" t="str">
        <f aca="false">IF($A10="","",SUMIFS('Post Log'!$Q$4:$Q$203,'Post Log'!$A$4:$A$203,"&gt;="&amp;$A10,'Post Log'!$A$4:$A$203,"&lt;"&amp;$A10+7))</f>
        <v/>
      </c>
      <c r="H10" s="26" t="str">
        <f aca="false">IF($A10="","",SUMIFS('Post Log'!$R$4:$R$203,'Post Log'!$A$4:$A$203,"&gt;="&amp;$A10,'Post Log'!$A$4:$A$203,"&lt;"&amp;$A10+7))</f>
        <v/>
      </c>
      <c r="I10" s="26" t="str">
        <f aca="false">IF($A10="","",SUMIFS('Post Log'!$S$4:$S$203,'Post Log'!$A$4:$A$203,"&gt;="&amp;$A10,'Post Log'!$A$4:$A$203,"&lt;"&amp;$A10+7))</f>
        <v/>
      </c>
      <c r="J10" s="27"/>
      <c r="K10" s="27"/>
      <c r="L10" s="26" t="str">
        <f aca="false">IF($D10="","",IF($D10&gt;=Targets!$B$4,"ON TARGET",TEXT(Targets!$B$4-$D10,"0.0%")&amp;" to go"))</f>
        <v/>
      </c>
    </row>
    <row r="11" customFormat="false" ht="15" hidden="false" customHeight="true" outlineLevel="0" collapsed="false">
      <c r="A11" s="25"/>
      <c r="B11" s="26" t="str">
        <f aca="false">IF($A11="","",COUNTIFS('Post Log'!$A$4:$A$203,"&gt;="&amp;$A11,'Post Log'!$A$4:$A$203,"&lt;"&amp;$A11+7))</f>
        <v/>
      </c>
      <c r="C11" s="26" t="str">
        <f aca="false">IF($A11="","",SUMIFS('Post Log'!$I$4:$I$203,'Post Log'!$A$4:$A$203,"&gt;="&amp;$A11,'Post Log'!$A$4:$A$203,"&lt;"&amp;$A11+7))</f>
        <v/>
      </c>
      <c r="D11" s="28" t="str">
        <f aca="false">IF(OR($A11="",SUMIFS('Post Log'!$I$4:$I$203,'Post Log'!$A$4:$A$203,"&gt;="&amp;$A11,'Post Log'!$A$4:$A$203,"&lt;"&amp;$A11+7)=0),"",SUMIFS('Post Log'!$J$4:$J$203,'Post Log'!$A$4:$A$203,"&gt;="&amp;$A11,'Post Log'!$A$4:$A$203,"&lt;"&amp;$A11+7)/SUMIFS('Post Log'!$I$4:$I$203,'Post Log'!$A$4:$A$203,"&gt;="&amp;$A11,'Post Log'!$A$4:$A$203,"&lt;"&amp;$A11+7))</f>
        <v/>
      </c>
      <c r="E11" s="28" t="str">
        <f aca="false">IF(OR($A11="",SUMIFS('Post Log'!$M$4:$M$203,'Post Log'!$A$4:$A$203,"&gt;="&amp;$A11,'Post Log'!$A$4:$A$203,"&lt;"&amp;$A11+7)=0),"",SUMIFS('Post Log'!$L$4:$L$203,'Post Log'!$A$4:$A$203,"&gt;="&amp;$A11,'Post Log'!$A$4:$A$203,"&lt;"&amp;$A11+7)/SUMIFS('Post Log'!$M$4:$M$203,'Post Log'!$A$4:$A$203,"&gt;="&amp;$A11,'Post Log'!$A$4:$A$203,"&lt;"&amp;$A11+7))</f>
        <v/>
      </c>
      <c r="F11" s="26" t="str">
        <f aca="false">IF($A11="","",SUMIFS('Post Log'!$O$4:$O$203,'Post Log'!$A$4:$A$203,"&gt;="&amp;$A11,'Post Log'!$A$4:$A$203,"&lt;"&amp;$A11+7)+SUMIFS('Post Log'!$P$4:$P$203,'Post Log'!$A$4:$A$203,"&gt;="&amp;$A11,'Post Log'!$A$4:$A$203,"&lt;"&amp;$A11+7))</f>
        <v/>
      </c>
      <c r="G11" s="26" t="str">
        <f aca="false">IF($A11="","",SUMIFS('Post Log'!$Q$4:$Q$203,'Post Log'!$A$4:$A$203,"&gt;="&amp;$A11,'Post Log'!$A$4:$A$203,"&lt;"&amp;$A11+7))</f>
        <v/>
      </c>
      <c r="H11" s="26" t="str">
        <f aca="false">IF($A11="","",SUMIFS('Post Log'!$R$4:$R$203,'Post Log'!$A$4:$A$203,"&gt;="&amp;$A11,'Post Log'!$A$4:$A$203,"&lt;"&amp;$A11+7))</f>
        <v/>
      </c>
      <c r="I11" s="26" t="str">
        <f aca="false">IF($A11="","",SUMIFS('Post Log'!$S$4:$S$203,'Post Log'!$A$4:$A$203,"&gt;="&amp;$A11,'Post Log'!$A$4:$A$203,"&lt;"&amp;$A11+7))</f>
        <v/>
      </c>
      <c r="J11" s="27"/>
      <c r="K11" s="27"/>
      <c r="L11" s="26" t="str">
        <f aca="false">IF($D11="","",IF($D11&gt;=Targets!$B$4,"ON TARGET",TEXT(Targets!$B$4-$D11,"0.0%")&amp;" to go"))</f>
        <v/>
      </c>
    </row>
    <row r="12" customFormat="false" ht="15" hidden="false" customHeight="true" outlineLevel="0" collapsed="false">
      <c r="A12" s="25"/>
      <c r="B12" s="26" t="str">
        <f aca="false">IF($A12="","",COUNTIFS('Post Log'!$A$4:$A$203,"&gt;="&amp;$A12,'Post Log'!$A$4:$A$203,"&lt;"&amp;$A12+7))</f>
        <v/>
      </c>
      <c r="C12" s="26" t="str">
        <f aca="false">IF($A12="","",SUMIFS('Post Log'!$I$4:$I$203,'Post Log'!$A$4:$A$203,"&gt;="&amp;$A12,'Post Log'!$A$4:$A$203,"&lt;"&amp;$A12+7))</f>
        <v/>
      </c>
      <c r="D12" s="28" t="str">
        <f aca="false">IF(OR($A12="",SUMIFS('Post Log'!$I$4:$I$203,'Post Log'!$A$4:$A$203,"&gt;="&amp;$A12,'Post Log'!$A$4:$A$203,"&lt;"&amp;$A12+7)=0),"",SUMIFS('Post Log'!$J$4:$J$203,'Post Log'!$A$4:$A$203,"&gt;="&amp;$A12,'Post Log'!$A$4:$A$203,"&lt;"&amp;$A12+7)/SUMIFS('Post Log'!$I$4:$I$203,'Post Log'!$A$4:$A$203,"&gt;="&amp;$A12,'Post Log'!$A$4:$A$203,"&lt;"&amp;$A12+7))</f>
        <v/>
      </c>
      <c r="E12" s="28" t="str">
        <f aca="false">IF(OR($A12="",SUMIFS('Post Log'!$M$4:$M$203,'Post Log'!$A$4:$A$203,"&gt;="&amp;$A12,'Post Log'!$A$4:$A$203,"&lt;"&amp;$A12+7)=0),"",SUMIFS('Post Log'!$L$4:$L$203,'Post Log'!$A$4:$A$203,"&gt;="&amp;$A12,'Post Log'!$A$4:$A$203,"&lt;"&amp;$A12+7)/SUMIFS('Post Log'!$M$4:$M$203,'Post Log'!$A$4:$A$203,"&gt;="&amp;$A12,'Post Log'!$A$4:$A$203,"&lt;"&amp;$A12+7))</f>
        <v/>
      </c>
      <c r="F12" s="26" t="str">
        <f aca="false">IF($A12="","",SUMIFS('Post Log'!$O$4:$O$203,'Post Log'!$A$4:$A$203,"&gt;="&amp;$A12,'Post Log'!$A$4:$A$203,"&lt;"&amp;$A12+7)+SUMIFS('Post Log'!$P$4:$P$203,'Post Log'!$A$4:$A$203,"&gt;="&amp;$A12,'Post Log'!$A$4:$A$203,"&lt;"&amp;$A12+7))</f>
        <v/>
      </c>
      <c r="G12" s="26" t="str">
        <f aca="false">IF($A12="","",SUMIFS('Post Log'!$Q$4:$Q$203,'Post Log'!$A$4:$A$203,"&gt;="&amp;$A12,'Post Log'!$A$4:$A$203,"&lt;"&amp;$A12+7))</f>
        <v/>
      </c>
      <c r="H12" s="26" t="str">
        <f aca="false">IF($A12="","",SUMIFS('Post Log'!$R$4:$R$203,'Post Log'!$A$4:$A$203,"&gt;="&amp;$A12,'Post Log'!$A$4:$A$203,"&lt;"&amp;$A12+7))</f>
        <v/>
      </c>
      <c r="I12" s="26" t="str">
        <f aca="false">IF($A12="","",SUMIFS('Post Log'!$S$4:$S$203,'Post Log'!$A$4:$A$203,"&gt;="&amp;$A12,'Post Log'!$A$4:$A$203,"&lt;"&amp;$A12+7))</f>
        <v/>
      </c>
      <c r="J12" s="27"/>
      <c r="K12" s="27"/>
      <c r="L12" s="26" t="str">
        <f aca="false">IF($D12="","",IF($D12&gt;=Targets!$B$4,"ON TARGET",TEXT(Targets!$B$4-$D12,"0.0%")&amp;" to go"))</f>
        <v/>
      </c>
    </row>
    <row r="13" customFormat="false" ht="15" hidden="false" customHeight="true" outlineLevel="0" collapsed="false">
      <c r="A13" s="25"/>
      <c r="B13" s="26" t="str">
        <f aca="false">IF($A13="","",COUNTIFS('Post Log'!$A$4:$A$203,"&gt;="&amp;$A13,'Post Log'!$A$4:$A$203,"&lt;"&amp;$A13+7))</f>
        <v/>
      </c>
      <c r="C13" s="26" t="str">
        <f aca="false">IF($A13="","",SUMIFS('Post Log'!$I$4:$I$203,'Post Log'!$A$4:$A$203,"&gt;="&amp;$A13,'Post Log'!$A$4:$A$203,"&lt;"&amp;$A13+7))</f>
        <v/>
      </c>
      <c r="D13" s="28" t="str">
        <f aca="false">IF(OR($A13="",SUMIFS('Post Log'!$I$4:$I$203,'Post Log'!$A$4:$A$203,"&gt;="&amp;$A13,'Post Log'!$A$4:$A$203,"&lt;"&amp;$A13+7)=0),"",SUMIFS('Post Log'!$J$4:$J$203,'Post Log'!$A$4:$A$203,"&gt;="&amp;$A13,'Post Log'!$A$4:$A$203,"&lt;"&amp;$A13+7)/SUMIFS('Post Log'!$I$4:$I$203,'Post Log'!$A$4:$A$203,"&gt;="&amp;$A13,'Post Log'!$A$4:$A$203,"&lt;"&amp;$A13+7))</f>
        <v/>
      </c>
      <c r="E13" s="28" t="str">
        <f aca="false">IF(OR($A13="",SUMIFS('Post Log'!$M$4:$M$203,'Post Log'!$A$4:$A$203,"&gt;="&amp;$A13,'Post Log'!$A$4:$A$203,"&lt;"&amp;$A13+7)=0),"",SUMIFS('Post Log'!$L$4:$L$203,'Post Log'!$A$4:$A$203,"&gt;="&amp;$A13,'Post Log'!$A$4:$A$203,"&lt;"&amp;$A13+7)/SUMIFS('Post Log'!$M$4:$M$203,'Post Log'!$A$4:$A$203,"&gt;="&amp;$A13,'Post Log'!$A$4:$A$203,"&lt;"&amp;$A13+7))</f>
        <v/>
      </c>
      <c r="F13" s="26" t="str">
        <f aca="false">IF($A13="","",SUMIFS('Post Log'!$O$4:$O$203,'Post Log'!$A$4:$A$203,"&gt;="&amp;$A13,'Post Log'!$A$4:$A$203,"&lt;"&amp;$A13+7)+SUMIFS('Post Log'!$P$4:$P$203,'Post Log'!$A$4:$A$203,"&gt;="&amp;$A13,'Post Log'!$A$4:$A$203,"&lt;"&amp;$A13+7))</f>
        <v/>
      </c>
      <c r="G13" s="26" t="str">
        <f aca="false">IF($A13="","",SUMIFS('Post Log'!$Q$4:$Q$203,'Post Log'!$A$4:$A$203,"&gt;="&amp;$A13,'Post Log'!$A$4:$A$203,"&lt;"&amp;$A13+7))</f>
        <v/>
      </c>
      <c r="H13" s="26" t="str">
        <f aca="false">IF($A13="","",SUMIFS('Post Log'!$R$4:$R$203,'Post Log'!$A$4:$A$203,"&gt;="&amp;$A13,'Post Log'!$A$4:$A$203,"&lt;"&amp;$A13+7))</f>
        <v/>
      </c>
      <c r="I13" s="26" t="str">
        <f aca="false">IF($A13="","",SUMIFS('Post Log'!$S$4:$S$203,'Post Log'!$A$4:$A$203,"&gt;="&amp;$A13,'Post Log'!$A$4:$A$203,"&lt;"&amp;$A13+7))</f>
        <v/>
      </c>
      <c r="J13" s="27"/>
      <c r="K13" s="27"/>
      <c r="L13" s="26" t="str">
        <f aca="false">IF($D13="","",IF($D13&gt;=Targets!$B$4,"ON TARGET",TEXT(Targets!$B$4-$D13,"0.0%")&amp;" to go"))</f>
        <v/>
      </c>
    </row>
    <row r="14" customFormat="false" ht="15" hidden="false" customHeight="true" outlineLevel="0" collapsed="false">
      <c r="A14" s="25"/>
      <c r="B14" s="26" t="str">
        <f aca="false">IF($A14="","",COUNTIFS('Post Log'!$A$4:$A$203,"&gt;="&amp;$A14,'Post Log'!$A$4:$A$203,"&lt;"&amp;$A14+7))</f>
        <v/>
      </c>
      <c r="C14" s="26" t="str">
        <f aca="false">IF($A14="","",SUMIFS('Post Log'!$I$4:$I$203,'Post Log'!$A$4:$A$203,"&gt;="&amp;$A14,'Post Log'!$A$4:$A$203,"&lt;"&amp;$A14+7))</f>
        <v/>
      </c>
      <c r="D14" s="28" t="str">
        <f aca="false">IF(OR($A14="",SUMIFS('Post Log'!$I$4:$I$203,'Post Log'!$A$4:$A$203,"&gt;="&amp;$A14,'Post Log'!$A$4:$A$203,"&lt;"&amp;$A14+7)=0),"",SUMIFS('Post Log'!$J$4:$J$203,'Post Log'!$A$4:$A$203,"&gt;="&amp;$A14,'Post Log'!$A$4:$A$203,"&lt;"&amp;$A14+7)/SUMIFS('Post Log'!$I$4:$I$203,'Post Log'!$A$4:$A$203,"&gt;="&amp;$A14,'Post Log'!$A$4:$A$203,"&lt;"&amp;$A14+7))</f>
        <v/>
      </c>
      <c r="E14" s="28" t="str">
        <f aca="false">IF(OR($A14="",SUMIFS('Post Log'!$M$4:$M$203,'Post Log'!$A$4:$A$203,"&gt;="&amp;$A14,'Post Log'!$A$4:$A$203,"&lt;"&amp;$A14+7)=0),"",SUMIFS('Post Log'!$L$4:$L$203,'Post Log'!$A$4:$A$203,"&gt;="&amp;$A14,'Post Log'!$A$4:$A$203,"&lt;"&amp;$A14+7)/SUMIFS('Post Log'!$M$4:$M$203,'Post Log'!$A$4:$A$203,"&gt;="&amp;$A14,'Post Log'!$A$4:$A$203,"&lt;"&amp;$A14+7))</f>
        <v/>
      </c>
      <c r="F14" s="26" t="str">
        <f aca="false">IF($A14="","",SUMIFS('Post Log'!$O$4:$O$203,'Post Log'!$A$4:$A$203,"&gt;="&amp;$A14,'Post Log'!$A$4:$A$203,"&lt;"&amp;$A14+7)+SUMIFS('Post Log'!$P$4:$P$203,'Post Log'!$A$4:$A$203,"&gt;="&amp;$A14,'Post Log'!$A$4:$A$203,"&lt;"&amp;$A14+7))</f>
        <v/>
      </c>
      <c r="G14" s="26" t="str">
        <f aca="false">IF($A14="","",SUMIFS('Post Log'!$Q$4:$Q$203,'Post Log'!$A$4:$A$203,"&gt;="&amp;$A14,'Post Log'!$A$4:$A$203,"&lt;"&amp;$A14+7))</f>
        <v/>
      </c>
      <c r="H14" s="26" t="str">
        <f aca="false">IF($A14="","",SUMIFS('Post Log'!$R$4:$R$203,'Post Log'!$A$4:$A$203,"&gt;="&amp;$A14,'Post Log'!$A$4:$A$203,"&lt;"&amp;$A14+7))</f>
        <v/>
      </c>
      <c r="I14" s="26" t="str">
        <f aca="false">IF($A14="","",SUMIFS('Post Log'!$S$4:$S$203,'Post Log'!$A$4:$A$203,"&gt;="&amp;$A14,'Post Log'!$A$4:$A$203,"&lt;"&amp;$A14+7))</f>
        <v/>
      </c>
      <c r="J14" s="27"/>
      <c r="K14" s="27"/>
      <c r="L14" s="26" t="str">
        <f aca="false">IF($D14="","",IF($D14&gt;=Targets!$B$4,"ON TARGET",TEXT(Targets!$B$4-$D14,"0.0%")&amp;" to go"))</f>
        <v/>
      </c>
    </row>
    <row r="15" customFormat="false" ht="15" hidden="false" customHeight="true" outlineLevel="0" collapsed="false">
      <c r="A15" s="25"/>
      <c r="B15" s="26" t="str">
        <f aca="false">IF($A15="","",COUNTIFS('Post Log'!$A$4:$A$203,"&gt;="&amp;$A15,'Post Log'!$A$4:$A$203,"&lt;"&amp;$A15+7))</f>
        <v/>
      </c>
      <c r="C15" s="26" t="str">
        <f aca="false">IF($A15="","",SUMIFS('Post Log'!$I$4:$I$203,'Post Log'!$A$4:$A$203,"&gt;="&amp;$A15,'Post Log'!$A$4:$A$203,"&lt;"&amp;$A15+7))</f>
        <v/>
      </c>
      <c r="D15" s="28" t="str">
        <f aca="false">IF(OR($A15="",SUMIFS('Post Log'!$I$4:$I$203,'Post Log'!$A$4:$A$203,"&gt;="&amp;$A15,'Post Log'!$A$4:$A$203,"&lt;"&amp;$A15+7)=0),"",SUMIFS('Post Log'!$J$4:$J$203,'Post Log'!$A$4:$A$203,"&gt;="&amp;$A15,'Post Log'!$A$4:$A$203,"&lt;"&amp;$A15+7)/SUMIFS('Post Log'!$I$4:$I$203,'Post Log'!$A$4:$A$203,"&gt;="&amp;$A15,'Post Log'!$A$4:$A$203,"&lt;"&amp;$A15+7))</f>
        <v/>
      </c>
      <c r="E15" s="28" t="str">
        <f aca="false">IF(OR($A15="",SUMIFS('Post Log'!$M$4:$M$203,'Post Log'!$A$4:$A$203,"&gt;="&amp;$A15,'Post Log'!$A$4:$A$203,"&lt;"&amp;$A15+7)=0),"",SUMIFS('Post Log'!$L$4:$L$203,'Post Log'!$A$4:$A$203,"&gt;="&amp;$A15,'Post Log'!$A$4:$A$203,"&lt;"&amp;$A15+7)/SUMIFS('Post Log'!$M$4:$M$203,'Post Log'!$A$4:$A$203,"&gt;="&amp;$A15,'Post Log'!$A$4:$A$203,"&lt;"&amp;$A15+7))</f>
        <v/>
      </c>
      <c r="F15" s="26" t="str">
        <f aca="false">IF($A15="","",SUMIFS('Post Log'!$O$4:$O$203,'Post Log'!$A$4:$A$203,"&gt;="&amp;$A15,'Post Log'!$A$4:$A$203,"&lt;"&amp;$A15+7)+SUMIFS('Post Log'!$P$4:$P$203,'Post Log'!$A$4:$A$203,"&gt;="&amp;$A15,'Post Log'!$A$4:$A$203,"&lt;"&amp;$A15+7))</f>
        <v/>
      </c>
      <c r="G15" s="26" t="str">
        <f aca="false">IF($A15="","",SUMIFS('Post Log'!$Q$4:$Q$203,'Post Log'!$A$4:$A$203,"&gt;="&amp;$A15,'Post Log'!$A$4:$A$203,"&lt;"&amp;$A15+7))</f>
        <v/>
      </c>
      <c r="H15" s="26" t="str">
        <f aca="false">IF($A15="","",SUMIFS('Post Log'!$R$4:$R$203,'Post Log'!$A$4:$A$203,"&gt;="&amp;$A15,'Post Log'!$A$4:$A$203,"&lt;"&amp;$A15+7))</f>
        <v/>
      </c>
      <c r="I15" s="26" t="str">
        <f aca="false">IF($A15="","",SUMIFS('Post Log'!$S$4:$S$203,'Post Log'!$A$4:$A$203,"&gt;="&amp;$A15,'Post Log'!$A$4:$A$203,"&lt;"&amp;$A15+7))</f>
        <v/>
      </c>
      <c r="J15" s="27"/>
      <c r="K15" s="27"/>
      <c r="L15" s="26" t="str">
        <f aca="false">IF($D15="","",IF($D15&gt;=Targets!$B$4,"ON TARGET",TEXT(Targets!$B$4-$D15,"0.0%")&amp;" to go"))</f>
        <v/>
      </c>
    </row>
    <row r="16" customFormat="false" ht="15" hidden="false" customHeight="true" outlineLevel="0" collapsed="false">
      <c r="A16" s="25"/>
      <c r="B16" s="26" t="str">
        <f aca="false">IF($A16="","",COUNTIFS('Post Log'!$A$4:$A$203,"&gt;="&amp;$A16,'Post Log'!$A$4:$A$203,"&lt;"&amp;$A16+7))</f>
        <v/>
      </c>
      <c r="C16" s="26" t="str">
        <f aca="false">IF($A16="","",SUMIFS('Post Log'!$I$4:$I$203,'Post Log'!$A$4:$A$203,"&gt;="&amp;$A16,'Post Log'!$A$4:$A$203,"&lt;"&amp;$A16+7))</f>
        <v/>
      </c>
      <c r="D16" s="28" t="str">
        <f aca="false">IF(OR($A16="",SUMIFS('Post Log'!$I$4:$I$203,'Post Log'!$A$4:$A$203,"&gt;="&amp;$A16,'Post Log'!$A$4:$A$203,"&lt;"&amp;$A16+7)=0),"",SUMIFS('Post Log'!$J$4:$J$203,'Post Log'!$A$4:$A$203,"&gt;="&amp;$A16,'Post Log'!$A$4:$A$203,"&lt;"&amp;$A16+7)/SUMIFS('Post Log'!$I$4:$I$203,'Post Log'!$A$4:$A$203,"&gt;="&amp;$A16,'Post Log'!$A$4:$A$203,"&lt;"&amp;$A16+7))</f>
        <v/>
      </c>
      <c r="E16" s="28" t="str">
        <f aca="false">IF(OR($A16="",SUMIFS('Post Log'!$M$4:$M$203,'Post Log'!$A$4:$A$203,"&gt;="&amp;$A16,'Post Log'!$A$4:$A$203,"&lt;"&amp;$A16+7)=0),"",SUMIFS('Post Log'!$L$4:$L$203,'Post Log'!$A$4:$A$203,"&gt;="&amp;$A16,'Post Log'!$A$4:$A$203,"&lt;"&amp;$A16+7)/SUMIFS('Post Log'!$M$4:$M$203,'Post Log'!$A$4:$A$203,"&gt;="&amp;$A16,'Post Log'!$A$4:$A$203,"&lt;"&amp;$A16+7))</f>
        <v/>
      </c>
      <c r="F16" s="26" t="str">
        <f aca="false">IF($A16="","",SUMIFS('Post Log'!$O$4:$O$203,'Post Log'!$A$4:$A$203,"&gt;="&amp;$A16,'Post Log'!$A$4:$A$203,"&lt;"&amp;$A16+7)+SUMIFS('Post Log'!$P$4:$P$203,'Post Log'!$A$4:$A$203,"&gt;="&amp;$A16,'Post Log'!$A$4:$A$203,"&lt;"&amp;$A16+7))</f>
        <v/>
      </c>
      <c r="G16" s="26" t="str">
        <f aca="false">IF($A16="","",SUMIFS('Post Log'!$Q$4:$Q$203,'Post Log'!$A$4:$A$203,"&gt;="&amp;$A16,'Post Log'!$A$4:$A$203,"&lt;"&amp;$A16+7))</f>
        <v/>
      </c>
      <c r="H16" s="26" t="str">
        <f aca="false">IF($A16="","",SUMIFS('Post Log'!$R$4:$R$203,'Post Log'!$A$4:$A$203,"&gt;="&amp;$A16,'Post Log'!$A$4:$A$203,"&lt;"&amp;$A16+7))</f>
        <v/>
      </c>
      <c r="I16" s="26" t="str">
        <f aca="false">IF($A16="","",SUMIFS('Post Log'!$S$4:$S$203,'Post Log'!$A$4:$A$203,"&gt;="&amp;$A16,'Post Log'!$A$4:$A$203,"&lt;"&amp;$A16+7))</f>
        <v/>
      </c>
      <c r="J16" s="27"/>
      <c r="K16" s="27"/>
      <c r="L16" s="26" t="str">
        <f aca="false">IF($D16="","",IF($D16&gt;=Targets!$B$4,"ON TARGET",TEXT(Targets!$B$4-$D16,"0.0%")&amp;" to go"))</f>
        <v/>
      </c>
    </row>
    <row r="17" customFormat="false" ht="15" hidden="false" customHeight="true" outlineLevel="0" collapsed="false">
      <c r="A17" s="25"/>
      <c r="B17" s="26" t="str">
        <f aca="false">IF($A17="","",COUNTIFS('Post Log'!$A$4:$A$203,"&gt;="&amp;$A17,'Post Log'!$A$4:$A$203,"&lt;"&amp;$A17+7))</f>
        <v/>
      </c>
      <c r="C17" s="26" t="str">
        <f aca="false">IF($A17="","",SUMIFS('Post Log'!$I$4:$I$203,'Post Log'!$A$4:$A$203,"&gt;="&amp;$A17,'Post Log'!$A$4:$A$203,"&lt;"&amp;$A17+7))</f>
        <v/>
      </c>
      <c r="D17" s="28" t="str">
        <f aca="false">IF(OR($A17="",SUMIFS('Post Log'!$I$4:$I$203,'Post Log'!$A$4:$A$203,"&gt;="&amp;$A17,'Post Log'!$A$4:$A$203,"&lt;"&amp;$A17+7)=0),"",SUMIFS('Post Log'!$J$4:$J$203,'Post Log'!$A$4:$A$203,"&gt;="&amp;$A17,'Post Log'!$A$4:$A$203,"&lt;"&amp;$A17+7)/SUMIFS('Post Log'!$I$4:$I$203,'Post Log'!$A$4:$A$203,"&gt;="&amp;$A17,'Post Log'!$A$4:$A$203,"&lt;"&amp;$A17+7))</f>
        <v/>
      </c>
      <c r="E17" s="28" t="str">
        <f aca="false">IF(OR($A17="",SUMIFS('Post Log'!$M$4:$M$203,'Post Log'!$A$4:$A$203,"&gt;="&amp;$A17,'Post Log'!$A$4:$A$203,"&lt;"&amp;$A17+7)=0),"",SUMIFS('Post Log'!$L$4:$L$203,'Post Log'!$A$4:$A$203,"&gt;="&amp;$A17,'Post Log'!$A$4:$A$203,"&lt;"&amp;$A17+7)/SUMIFS('Post Log'!$M$4:$M$203,'Post Log'!$A$4:$A$203,"&gt;="&amp;$A17,'Post Log'!$A$4:$A$203,"&lt;"&amp;$A17+7))</f>
        <v/>
      </c>
      <c r="F17" s="26" t="str">
        <f aca="false">IF($A17="","",SUMIFS('Post Log'!$O$4:$O$203,'Post Log'!$A$4:$A$203,"&gt;="&amp;$A17,'Post Log'!$A$4:$A$203,"&lt;"&amp;$A17+7)+SUMIFS('Post Log'!$P$4:$P$203,'Post Log'!$A$4:$A$203,"&gt;="&amp;$A17,'Post Log'!$A$4:$A$203,"&lt;"&amp;$A17+7))</f>
        <v/>
      </c>
      <c r="G17" s="26" t="str">
        <f aca="false">IF($A17="","",SUMIFS('Post Log'!$Q$4:$Q$203,'Post Log'!$A$4:$A$203,"&gt;="&amp;$A17,'Post Log'!$A$4:$A$203,"&lt;"&amp;$A17+7))</f>
        <v/>
      </c>
      <c r="H17" s="26" t="str">
        <f aca="false">IF($A17="","",SUMIFS('Post Log'!$R$4:$R$203,'Post Log'!$A$4:$A$203,"&gt;="&amp;$A17,'Post Log'!$A$4:$A$203,"&lt;"&amp;$A17+7))</f>
        <v/>
      </c>
      <c r="I17" s="26" t="str">
        <f aca="false">IF($A17="","",SUMIFS('Post Log'!$S$4:$S$203,'Post Log'!$A$4:$A$203,"&gt;="&amp;$A17,'Post Log'!$A$4:$A$203,"&lt;"&amp;$A17+7))</f>
        <v/>
      </c>
      <c r="J17" s="27"/>
      <c r="K17" s="27"/>
      <c r="L17" s="26" t="str">
        <f aca="false">IF($D17="","",IF($D17&gt;=Targets!$B$4,"ON TARGET",TEXT(Targets!$B$4-$D17,"0.0%")&amp;" to go"))</f>
        <v/>
      </c>
    </row>
    <row r="18" customFormat="false" ht="15" hidden="false" customHeight="true" outlineLevel="0" collapsed="false">
      <c r="A18" s="25"/>
      <c r="B18" s="26" t="str">
        <f aca="false">IF($A18="","",COUNTIFS('Post Log'!$A$4:$A$203,"&gt;="&amp;$A18,'Post Log'!$A$4:$A$203,"&lt;"&amp;$A18+7))</f>
        <v/>
      </c>
      <c r="C18" s="26" t="str">
        <f aca="false">IF($A18="","",SUMIFS('Post Log'!$I$4:$I$203,'Post Log'!$A$4:$A$203,"&gt;="&amp;$A18,'Post Log'!$A$4:$A$203,"&lt;"&amp;$A18+7))</f>
        <v/>
      </c>
      <c r="D18" s="28" t="str">
        <f aca="false">IF(OR($A18="",SUMIFS('Post Log'!$I$4:$I$203,'Post Log'!$A$4:$A$203,"&gt;="&amp;$A18,'Post Log'!$A$4:$A$203,"&lt;"&amp;$A18+7)=0),"",SUMIFS('Post Log'!$J$4:$J$203,'Post Log'!$A$4:$A$203,"&gt;="&amp;$A18,'Post Log'!$A$4:$A$203,"&lt;"&amp;$A18+7)/SUMIFS('Post Log'!$I$4:$I$203,'Post Log'!$A$4:$A$203,"&gt;="&amp;$A18,'Post Log'!$A$4:$A$203,"&lt;"&amp;$A18+7))</f>
        <v/>
      </c>
      <c r="E18" s="28" t="str">
        <f aca="false">IF(OR($A18="",SUMIFS('Post Log'!$M$4:$M$203,'Post Log'!$A$4:$A$203,"&gt;="&amp;$A18,'Post Log'!$A$4:$A$203,"&lt;"&amp;$A18+7)=0),"",SUMIFS('Post Log'!$L$4:$L$203,'Post Log'!$A$4:$A$203,"&gt;="&amp;$A18,'Post Log'!$A$4:$A$203,"&lt;"&amp;$A18+7)/SUMIFS('Post Log'!$M$4:$M$203,'Post Log'!$A$4:$A$203,"&gt;="&amp;$A18,'Post Log'!$A$4:$A$203,"&lt;"&amp;$A18+7))</f>
        <v/>
      </c>
      <c r="F18" s="26" t="str">
        <f aca="false">IF($A18="","",SUMIFS('Post Log'!$O$4:$O$203,'Post Log'!$A$4:$A$203,"&gt;="&amp;$A18,'Post Log'!$A$4:$A$203,"&lt;"&amp;$A18+7)+SUMIFS('Post Log'!$P$4:$P$203,'Post Log'!$A$4:$A$203,"&gt;="&amp;$A18,'Post Log'!$A$4:$A$203,"&lt;"&amp;$A18+7))</f>
        <v/>
      </c>
      <c r="G18" s="26" t="str">
        <f aca="false">IF($A18="","",SUMIFS('Post Log'!$Q$4:$Q$203,'Post Log'!$A$4:$A$203,"&gt;="&amp;$A18,'Post Log'!$A$4:$A$203,"&lt;"&amp;$A18+7))</f>
        <v/>
      </c>
      <c r="H18" s="26" t="str">
        <f aca="false">IF($A18="","",SUMIFS('Post Log'!$R$4:$R$203,'Post Log'!$A$4:$A$203,"&gt;="&amp;$A18,'Post Log'!$A$4:$A$203,"&lt;"&amp;$A18+7))</f>
        <v/>
      </c>
      <c r="I18" s="26" t="str">
        <f aca="false">IF($A18="","",SUMIFS('Post Log'!$S$4:$S$203,'Post Log'!$A$4:$A$203,"&gt;="&amp;$A18,'Post Log'!$A$4:$A$203,"&lt;"&amp;$A18+7))</f>
        <v/>
      </c>
      <c r="J18" s="27"/>
      <c r="K18" s="27"/>
      <c r="L18" s="26" t="str">
        <f aca="false">IF($D18="","",IF($D18&gt;=Targets!$B$4,"ON TARGET",TEXT(Targets!$B$4-$D18,"0.0%")&amp;" to go"))</f>
        <v/>
      </c>
    </row>
    <row r="19" customFormat="false" ht="15" hidden="false" customHeight="true" outlineLevel="0" collapsed="false">
      <c r="A19" s="25"/>
      <c r="B19" s="26" t="str">
        <f aca="false">IF($A19="","",COUNTIFS('Post Log'!$A$4:$A$203,"&gt;="&amp;$A19,'Post Log'!$A$4:$A$203,"&lt;"&amp;$A19+7))</f>
        <v/>
      </c>
      <c r="C19" s="26" t="str">
        <f aca="false">IF($A19="","",SUMIFS('Post Log'!$I$4:$I$203,'Post Log'!$A$4:$A$203,"&gt;="&amp;$A19,'Post Log'!$A$4:$A$203,"&lt;"&amp;$A19+7))</f>
        <v/>
      </c>
      <c r="D19" s="28" t="str">
        <f aca="false">IF(OR($A19="",SUMIFS('Post Log'!$I$4:$I$203,'Post Log'!$A$4:$A$203,"&gt;="&amp;$A19,'Post Log'!$A$4:$A$203,"&lt;"&amp;$A19+7)=0),"",SUMIFS('Post Log'!$J$4:$J$203,'Post Log'!$A$4:$A$203,"&gt;="&amp;$A19,'Post Log'!$A$4:$A$203,"&lt;"&amp;$A19+7)/SUMIFS('Post Log'!$I$4:$I$203,'Post Log'!$A$4:$A$203,"&gt;="&amp;$A19,'Post Log'!$A$4:$A$203,"&lt;"&amp;$A19+7))</f>
        <v/>
      </c>
      <c r="E19" s="28" t="str">
        <f aca="false">IF(OR($A19="",SUMIFS('Post Log'!$M$4:$M$203,'Post Log'!$A$4:$A$203,"&gt;="&amp;$A19,'Post Log'!$A$4:$A$203,"&lt;"&amp;$A19+7)=0),"",SUMIFS('Post Log'!$L$4:$L$203,'Post Log'!$A$4:$A$203,"&gt;="&amp;$A19,'Post Log'!$A$4:$A$203,"&lt;"&amp;$A19+7)/SUMIFS('Post Log'!$M$4:$M$203,'Post Log'!$A$4:$A$203,"&gt;="&amp;$A19,'Post Log'!$A$4:$A$203,"&lt;"&amp;$A19+7))</f>
        <v/>
      </c>
      <c r="F19" s="26" t="str">
        <f aca="false">IF($A19="","",SUMIFS('Post Log'!$O$4:$O$203,'Post Log'!$A$4:$A$203,"&gt;="&amp;$A19,'Post Log'!$A$4:$A$203,"&lt;"&amp;$A19+7)+SUMIFS('Post Log'!$P$4:$P$203,'Post Log'!$A$4:$A$203,"&gt;="&amp;$A19,'Post Log'!$A$4:$A$203,"&lt;"&amp;$A19+7))</f>
        <v/>
      </c>
      <c r="G19" s="26" t="str">
        <f aca="false">IF($A19="","",SUMIFS('Post Log'!$Q$4:$Q$203,'Post Log'!$A$4:$A$203,"&gt;="&amp;$A19,'Post Log'!$A$4:$A$203,"&lt;"&amp;$A19+7))</f>
        <v/>
      </c>
      <c r="H19" s="26" t="str">
        <f aca="false">IF($A19="","",SUMIFS('Post Log'!$R$4:$R$203,'Post Log'!$A$4:$A$203,"&gt;="&amp;$A19,'Post Log'!$A$4:$A$203,"&lt;"&amp;$A19+7))</f>
        <v/>
      </c>
      <c r="I19" s="26" t="str">
        <f aca="false">IF($A19="","",SUMIFS('Post Log'!$S$4:$S$203,'Post Log'!$A$4:$A$203,"&gt;="&amp;$A19,'Post Log'!$A$4:$A$203,"&lt;"&amp;$A19+7))</f>
        <v/>
      </c>
      <c r="J19" s="27"/>
      <c r="K19" s="27"/>
      <c r="L19" s="26" t="str">
        <f aca="false">IF($D19="","",IF($D19&gt;=Targets!$B$4,"ON TARGET",TEXT(Targets!$B$4-$D19,"0.0%")&amp;" to go"))</f>
        <v/>
      </c>
    </row>
    <row r="20" customFormat="false" ht="15" hidden="false" customHeight="true" outlineLevel="0" collapsed="false">
      <c r="A20" s="25"/>
      <c r="B20" s="26" t="str">
        <f aca="false">IF($A20="","",COUNTIFS('Post Log'!$A$4:$A$203,"&gt;="&amp;$A20,'Post Log'!$A$4:$A$203,"&lt;"&amp;$A20+7))</f>
        <v/>
      </c>
      <c r="C20" s="26" t="str">
        <f aca="false">IF($A20="","",SUMIFS('Post Log'!$I$4:$I$203,'Post Log'!$A$4:$A$203,"&gt;="&amp;$A20,'Post Log'!$A$4:$A$203,"&lt;"&amp;$A20+7))</f>
        <v/>
      </c>
      <c r="D20" s="28" t="str">
        <f aca="false">IF(OR($A20="",SUMIFS('Post Log'!$I$4:$I$203,'Post Log'!$A$4:$A$203,"&gt;="&amp;$A20,'Post Log'!$A$4:$A$203,"&lt;"&amp;$A20+7)=0),"",SUMIFS('Post Log'!$J$4:$J$203,'Post Log'!$A$4:$A$203,"&gt;="&amp;$A20,'Post Log'!$A$4:$A$203,"&lt;"&amp;$A20+7)/SUMIFS('Post Log'!$I$4:$I$203,'Post Log'!$A$4:$A$203,"&gt;="&amp;$A20,'Post Log'!$A$4:$A$203,"&lt;"&amp;$A20+7))</f>
        <v/>
      </c>
      <c r="E20" s="28" t="str">
        <f aca="false">IF(OR($A20="",SUMIFS('Post Log'!$M$4:$M$203,'Post Log'!$A$4:$A$203,"&gt;="&amp;$A20,'Post Log'!$A$4:$A$203,"&lt;"&amp;$A20+7)=0),"",SUMIFS('Post Log'!$L$4:$L$203,'Post Log'!$A$4:$A$203,"&gt;="&amp;$A20,'Post Log'!$A$4:$A$203,"&lt;"&amp;$A20+7)/SUMIFS('Post Log'!$M$4:$M$203,'Post Log'!$A$4:$A$203,"&gt;="&amp;$A20,'Post Log'!$A$4:$A$203,"&lt;"&amp;$A20+7))</f>
        <v/>
      </c>
      <c r="F20" s="26" t="str">
        <f aca="false">IF($A20="","",SUMIFS('Post Log'!$O$4:$O$203,'Post Log'!$A$4:$A$203,"&gt;="&amp;$A20,'Post Log'!$A$4:$A$203,"&lt;"&amp;$A20+7)+SUMIFS('Post Log'!$P$4:$P$203,'Post Log'!$A$4:$A$203,"&gt;="&amp;$A20,'Post Log'!$A$4:$A$203,"&lt;"&amp;$A20+7))</f>
        <v/>
      </c>
      <c r="G20" s="26" t="str">
        <f aca="false">IF($A20="","",SUMIFS('Post Log'!$Q$4:$Q$203,'Post Log'!$A$4:$A$203,"&gt;="&amp;$A20,'Post Log'!$A$4:$A$203,"&lt;"&amp;$A20+7))</f>
        <v/>
      </c>
      <c r="H20" s="26" t="str">
        <f aca="false">IF($A20="","",SUMIFS('Post Log'!$R$4:$R$203,'Post Log'!$A$4:$A$203,"&gt;="&amp;$A20,'Post Log'!$A$4:$A$203,"&lt;"&amp;$A20+7))</f>
        <v/>
      </c>
      <c r="I20" s="26" t="str">
        <f aca="false">IF($A20="","",SUMIFS('Post Log'!$S$4:$S$203,'Post Log'!$A$4:$A$203,"&gt;="&amp;$A20,'Post Log'!$A$4:$A$203,"&lt;"&amp;$A20+7))</f>
        <v/>
      </c>
      <c r="J20" s="27"/>
      <c r="K20" s="27"/>
      <c r="L20" s="26" t="str">
        <f aca="false">IF($D20="","",IF($D20&gt;=Targets!$B$4,"ON TARGET",TEXT(Targets!$B$4-$D20,"0.0%")&amp;" to go"))</f>
        <v/>
      </c>
    </row>
    <row r="21" customFormat="false" ht="15" hidden="false" customHeight="true" outlineLevel="0" collapsed="false">
      <c r="A21" s="25"/>
      <c r="B21" s="26" t="str">
        <f aca="false">IF($A21="","",COUNTIFS('Post Log'!$A$4:$A$203,"&gt;="&amp;$A21,'Post Log'!$A$4:$A$203,"&lt;"&amp;$A21+7))</f>
        <v/>
      </c>
      <c r="C21" s="26" t="str">
        <f aca="false">IF($A21="","",SUMIFS('Post Log'!$I$4:$I$203,'Post Log'!$A$4:$A$203,"&gt;="&amp;$A21,'Post Log'!$A$4:$A$203,"&lt;"&amp;$A21+7))</f>
        <v/>
      </c>
      <c r="D21" s="28" t="str">
        <f aca="false">IF(OR($A21="",SUMIFS('Post Log'!$I$4:$I$203,'Post Log'!$A$4:$A$203,"&gt;="&amp;$A21,'Post Log'!$A$4:$A$203,"&lt;"&amp;$A21+7)=0),"",SUMIFS('Post Log'!$J$4:$J$203,'Post Log'!$A$4:$A$203,"&gt;="&amp;$A21,'Post Log'!$A$4:$A$203,"&lt;"&amp;$A21+7)/SUMIFS('Post Log'!$I$4:$I$203,'Post Log'!$A$4:$A$203,"&gt;="&amp;$A21,'Post Log'!$A$4:$A$203,"&lt;"&amp;$A21+7))</f>
        <v/>
      </c>
      <c r="E21" s="28" t="str">
        <f aca="false">IF(OR($A21="",SUMIFS('Post Log'!$M$4:$M$203,'Post Log'!$A$4:$A$203,"&gt;="&amp;$A21,'Post Log'!$A$4:$A$203,"&lt;"&amp;$A21+7)=0),"",SUMIFS('Post Log'!$L$4:$L$203,'Post Log'!$A$4:$A$203,"&gt;="&amp;$A21,'Post Log'!$A$4:$A$203,"&lt;"&amp;$A21+7)/SUMIFS('Post Log'!$M$4:$M$203,'Post Log'!$A$4:$A$203,"&gt;="&amp;$A21,'Post Log'!$A$4:$A$203,"&lt;"&amp;$A21+7))</f>
        <v/>
      </c>
      <c r="F21" s="26" t="str">
        <f aca="false">IF($A21="","",SUMIFS('Post Log'!$O$4:$O$203,'Post Log'!$A$4:$A$203,"&gt;="&amp;$A21,'Post Log'!$A$4:$A$203,"&lt;"&amp;$A21+7)+SUMIFS('Post Log'!$P$4:$P$203,'Post Log'!$A$4:$A$203,"&gt;="&amp;$A21,'Post Log'!$A$4:$A$203,"&lt;"&amp;$A21+7))</f>
        <v/>
      </c>
      <c r="G21" s="26" t="str">
        <f aca="false">IF($A21="","",SUMIFS('Post Log'!$Q$4:$Q$203,'Post Log'!$A$4:$A$203,"&gt;="&amp;$A21,'Post Log'!$A$4:$A$203,"&lt;"&amp;$A21+7))</f>
        <v/>
      </c>
      <c r="H21" s="26" t="str">
        <f aca="false">IF($A21="","",SUMIFS('Post Log'!$R$4:$R$203,'Post Log'!$A$4:$A$203,"&gt;="&amp;$A21,'Post Log'!$A$4:$A$203,"&lt;"&amp;$A21+7))</f>
        <v/>
      </c>
      <c r="I21" s="26" t="str">
        <f aca="false">IF($A21="","",SUMIFS('Post Log'!$S$4:$S$203,'Post Log'!$A$4:$A$203,"&gt;="&amp;$A21,'Post Log'!$A$4:$A$203,"&lt;"&amp;$A21+7))</f>
        <v/>
      </c>
      <c r="J21" s="27"/>
      <c r="K21" s="27"/>
      <c r="L21" s="26" t="str">
        <f aca="false">IF($D21="","",IF($D21&gt;=Targets!$B$4,"ON TARGET",TEXT(Targets!$B$4-$D21,"0.0%")&amp;" to go"))</f>
        <v/>
      </c>
    </row>
    <row r="22" customFormat="false" ht="15" hidden="false" customHeight="true" outlineLevel="0" collapsed="false">
      <c r="A22" s="25"/>
      <c r="B22" s="26" t="str">
        <f aca="false">IF($A22="","",COUNTIFS('Post Log'!$A$4:$A$203,"&gt;="&amp;$A22,'Post Log'!$A$4:$A$203,"&lt;"&amp;$A22+7))</f>
        <v/>
      </c>
      <c r="C22" s="26" t="str">
        <f aca="false">IF($A22="","",SUMIFS('Post Log'!$I$4:$I$203,'Post Log'!$A$4:$A$203,"&gt;="&amp;$A22,'Post Log'!$A$4:$A$203,"&lt;"&amp;$A22+7))</f>
        <v/>
      </c>
      <c r="D22" s="28" t="str">
        <f aca="false">IF(OR($A22="",SUMIFS('Post Log'!$I$4:$I$203,'Post Log'!$A$4:$A$203,"&gt;="&amp;$A22,'Post Log'!$A$4:$A$203,"&lt;"&amp;$A22+7)=0),"",SUMIFS('Post Log'!$J$4:$J$203,'Post Log'!$A$4:$A$203,"&gt;="&amp;$A22,'Post Log'!$A$4:$A$203,"&lt;"&amp;$A22+7)/SUMIFS('Post Log'!$I$4:$I$203,'Post Log'!$A$4:$A$203,"&gt;="&amp;$A22,'Post Log'!$A$4:$A$203,"&lt;"&amp;$A22+7))</f>
        <v/>
      </c>
      <c r="E22" s="28" t="str">
        <f aca="false">IF(OR($A22="",SUMIFS('Post Log'!$M$4:$M$203,'Post Log'!$A$4:$A$203,"&gt;="&amp;$A22,'Post Log'!$A$4:$A$203,"&lt;"&amp;$A22+7)=0),"",SUMIFS('Post Log'!$L$4:$L$203,'Post Log'!$A$4:$A$203,"&gt;="&amp;$A22,'Post Log'!$A$4:$A$203,"&lt;"&amp;$A22+7)/SUMIFS('Post Log'!$M$4:$M$203,'Post Log'!$A$4:$A$203,"&gt;="&amp;$A22,'Post Log'!$A$4:$A$203,"&lt;"&amp;$A22+7))</f>
        <v/>
      </c>
      <c r="F22" s="26" t="str">
        <f aca="false">IF($A22="","",SUMIFS('Post Log'!$O$4:$O$203,'Post Log'!$A$4:$A$203,"&gt;="&amp;$A22,'Post Log'!$A$4:$A$203,"&lt;"&amp;$A22+7)+SUMIFS('Post Log'!$P$4:$P$203,'Post Log'!$A$4:$A$203,"&gt;="&amp;$A22,'Post Log'!$A$4:$A$203,"&lt;"&amp;$A22+7))</f>
        <v/>
      </c>
      <c r="G22" s="26" t="str">
        <f aca="false">IF($A22="","",SUMIFS('Post Log'!$Q$4:$Q$203,'Post Log'!$A$4:$A$203,"&gt;="&amp;$A22,'Post Log'!$A$4:$A$203,"&lt;"&amp;$A22+7))</f>
        <v/>
      </c>
      <c r="H22" s="26" t="str">
        <f aca="false">IF($A22="","",SUMIFS('Post Log'!$R$4:$R$203,'Post Log'!$A$4:$A$203,"&gt;="&amp;$A22,'Post Log'!$A$4:$A$203,"&lt;"&amp;$A22+7))</f>
        <v/>
      </c>
      <c r="I22" s="26" t="str">
        <f aca="false">IF($A22="","",SUMIFS('Post Log'!$S$4:$S$203,'Post Log'!$A$4:$A$203,"&gt;="&amp;$A22,'Post Log'!$A$4:$A$203,"&lt;"&amp;$A22+7))</f>
        <v/>
      </c>
      <c r="J22" s="27"/>
      <c r="K22" s="27"/>
      <c r="L22" s="26" t="str">
        <f aca="false">IF($D22="","",IF($D22&gt;=Targets!$B$4,"ON TARGET",TEXT(Targets!$B$4-$D22,"0.0%")&amp;" to go"))</f>
        <v/>
      </c>
    </row>
    <row r="23" customFormat="false" ht="15" hidden="false" customHeight="true" outlineLevel="0" collapsed="false">
      <c r="A23" s="25"/>
      <c r="B23" s="26" t="str">
        <f aca="false">IF($A23="","",COUNTIFS('Post Log'!$A$4:$A$203,"&gt;="&amp;$A23,'Post Log'!$A$4:$A$203,"&lt;"&amp;$A23+7))</f>
        <v/>
      </c>
      <c r="C23" s="26" t="str">
        <f aca="false">IF($A23="","",SUMIFS('Post Log'!$I$4:$I$203,'Post Log'!$A$4:$A$203,"&gt;="&amp;$A23,'Post Log'!$A$4:$A$203,"&lt;"&amp;$A23+7))</f>
        <v/>
      </c>
      <c r="D23" s="28" t="str">
        <f aca="false">IF(OR($A23="",SUMIFS('Post Log'!$I$4:$I$203,'Post Log'!$A$4:$A$203,"&gt;="&amp;$A23,'Post Log'!$A$4:$A$203,"&lt;"&amp;$A23+7)=0),"",SUMIFS('Post Log'!$J$4:$J$203,'Post Log'!$A$4:$A$203,"&gt;="&amp;$A23,'Post Log'!$A$4:$A$203,"&lt;"&amp;$A23+7)/SUMIFS('Post Log'!$I$4:$I$203,'Post Log'!$A$4:$A$203,"&gt;="&amp;$A23,'Post Log'!$A$4:$A$203,"&lt;"&amp;$A23+7))</f>
        <v/>
      </c>
      <c r="E23" s="28" t="str">
        <f aca="false">IF(OR($A23="",SUMIFS('Post Log'!$M$4:$M$203,'Post Log'!$A$4:$A$203,"&gt;="&amp;$A23,'Post Log'!$A$4:$A$203,"&lt;"&amp;$A23+7)=0),"",SUMIFS('Post Log'!$L$4:$L$203,'Post Log'!$A$4:$A$203,"&gt;="&amp;$A23,'Post Log'!$A$4:$A$203,"&lt;"&amp;$A23+7)/SUMIFS('Post Log'!$M$4:$M$203,'Post Log'!$A$4:$A$203,"&gt;="&amp;$A23,'Post Log'!$A$4:$A$203,"&lt;"&amp;$A23+7))</f>
        <v/>
      </c>
      <c r="F23" s="26" t="str">
        <f aca="false">IF($A23="","",SUMIFS('Post Log'!$O$4:$O$203,'Post Log'!$A$4:$A$203,"&gt;="&amp;$A23,'Post Log'!$A$4:$A$203,"&lt;"&amp;$A23+7)+SUMIFS('Post Log'!$P$4:$P$203,'Post Log'!$A$4:$A$203,"&gt;="&amp;$A23,'Post Log'!$A$4:$A$203,"&lt;"&amp;$A23+7))</f>
        <v/>
      </c>
      <c r="G23" s="26" t="str">
        <f aca="false">IF($A23="","",SUMIFS('Post Log'!$Q$4:$Q$203,'Post Log'!$A$4:$A$203,"&gt;="&amp;$A23,'Post Log'!$A$4:$A$203,"&lt;"&amp;$A23+7))</f>
        <v/>
      </c>
      <c r="H23" s="26" t="str">
        <f aca="false">IF($A23="","",SUMIFS('Post Log'!$R$4:$R$203,'Post Log'!$A$4:$A$203,"&gt;="&amp;$A23,'Post Log'!$A$4:$A$203,"&lt;"&amp;$A23+7))</f>
        <v/>
      </c>
      <c r="I23" s="26" t="str">
        <f aca="false">IF($A23="","",SUMIFS('Post Log'!$S$4:$S$203,'Post Log'!$A$4:$A$203,"&gt;="&amp;$A23,'Post Log'!$A$4:$A$203,"&lt;"&amp;$A23+7))</f>
        <v/>
      </c>
      <c r="J23" s="27"/>
      <c r="K23" s="27"/>
      <c r="L23" s="26" t="str">
        <f aca="false">IF($D23="","",IF($D23&gt;=Targets!$B$4,"ON TARGET",TEXT(Targets!$B$4-$D23,"0.0%")&amp;" to go"))</f>
        <v/>
      </c>
    </row>
    <row r="24" customFormat="false" ht="15" hidden="false" customHeight="true" outlineLevel="0" collapsed="false">
      <c r="A24" s="25"/>
      <c r="B24" s="26" t="str">
        <f aca="false">IF($A24="","",COUNTIFS('Post Log'!$A$4:$A$203,"&gt;="&amp;$A24,'Post Log'!$A$4:$A$203,"&lt;"&amp;$A24+7))</f>
        <v/>
      </c>
      <c r="C24" s="26" t="str">
        <f aca="false">IF($A24="","",SUMIFS('Post Log'!$I$4:$I$203,'Post Log'!$A$4:$A$203,"&gt;="&amp;$A24,'Post Log'!$A$4:$A$203,"&lt;"&amp;$A24+7))</f>
        <v/>
      </c>
      <c r="D24" s="28" t="str">
        <f aca="false">IF(OR($A24="",SUMIFS('Post Log'!$I$4:$I$203,'Post Log'!$A$4:$A$203,"&gt;="&amp;$A24,'Post Log'!$A$4:$A$203,"&lt;"&amp;$A24+7)=0),"",SUMIFS('Post Log'!$J$4:$J$203,'Post Log'!$A$4:$A$203,"&gt;="&amp;$A24,'Post Log'!$A$4:$A$203,"&lt;"&amp;$A24+7)/SUMIFS('Post Log'!$I$4:$I$203,'Post Log'!$A$4:$A$203,"&gt;="&amp;$A24,'Post Log'!$A$4:$A$203,"&lt;"&amp;$A24+7))</f>
        <v/>
      </c>
      <c r="E24" s="28" t="str">
        <f aca="false">IF(OR($A24="",SUMIFS('Post Log'!$M$4:$M$203,'Post Log'!$A$4:$A$203,"&gt;="&amp;$A24,'Post Log'!$A$4:$A$203,"&lt;"&amp;$A24+7)=0),"",SUMIFS('Post Log'!$L$4:$L$203,'Post Log'!$A$4:$A$203,"&gt;="&amp;$A24,'Post Log'!$A$4:$A$203,"&lt;"&amp;$A24+7)/SUMIFS('Post Log'!$M$4:$M$203,'Post Log'!$A$4:$A$203,"&gt;="&amp;$A24,'Post Log'!$A$4:$A$203,"&lt;"&amp;$A24+7))</f>
        <v/>
      </c>
      <c r="F24" s="26" t="str">
        <f aca="false">IF($A24="","",SUMIFS('Post Log'!$O$4:$O$203,'Post Log'!$A$4:$A$203,"&gt;="&amp;$A24,'Post Log'!$A$4:$A$203,"&lt;"&amp;$A24+7)+SUMIFS('Post Log'!$P$4:$P$203,'Post Log'!$A$4:$A$203,"&gt;="&amp;$A24,'Post Log'!$A$4:$A$203,"&lt;"&amp;$A24+7))</f>
        <v/>
      </c>
      <c r="G24" s="26" t="str">
        <f aca="false">IF($A24="","",SUMIFS('Post Log'!$Q$4:$Q$203,'Post Log'!$A$4:$A$203,"&gt;="&amp;$A24,'Post Log'!$A$4:$A$203,"&lt;"&amp;$A24+7))</f>
        <v/>
      </c>
      <c r="H24" s="26" t="str">
        <f aca="false">IF($A24="","",SUMIFS('Post Log'!$R$4:$R$203,'Post Log'!$A$4:$A$203,"&gt;="&amp;$A24,'Post Log'!$A$4:$A$203,"&lt;"&amp;$A24+7))</f>
        <v/>
      </c>
      <c r="I24" s="26" t="str">
        <f aca="false">IF($A24="","",SUMIFS('Post Log'!$S$4:$S$203,'Post Log'!$A$4:$A$203,"&gt;="&amp;$A24,'Post Log'!$A$4:$A$203,"&lt;"&amp;$A24+7))</f>
        <v/>
      </c>
      <c r="J24" s="27"/>
      <c r="K24" s="27"/>
      <c r="L24" s="26" t="str">
        <f aca="false">IF($D24="","",IF($D24&gt;=Targets!$B$4,"ON TARGET",TEXT(Targets!$B$4-$D24,"0.0%")&amp;" to go"))</f>
        <v/>
      </c>
    </row>
    <row r="25" customFormat="false" ht="15" hidden="false" customHeight="true" outlineLevel="0" collapsed="false">
      <c r="A25" s="25"/>
      <c r="B25" s="26" t="str">
        <f aca="false">IF($A25="","",COUNTIFS('Post Log'!$A$4:$A$203,"&gt;="&amp;$A25,'Post Log'!$A$4:$A$203,"&lt;"&amp;$A25+7))</f>
        <v/>
      </c>
      <c r="C25" s="26" t="str">
        <f aca="false">IF($A25="","",SUMIFS('Post Log'!$I$4:$I$203,'Post Log'!$A$4:$A$203,"&gt;="&amp;$A25,'Post Log'!$A$4:$A$203,"&lt;"&amp;$A25+7))</f>
        <v/>
      </c>
      <c r="D25" s="28" t="str">
        <f aca="false">IF(OR($A25="",SUMIFS('Post Log'!$I$4:$I$203,'Post Log'!$A$4:$A$203,"&gt;="&amp;$A25,'Post Log'!$A$4:$A$203,"&lt;"&amp;$A25+7)=0),"",SUMIFS('Post Log'!$J$4:$J$203,'Post Log'!$A$4:$A$203,"&gt;="&amp;$A25,'Post Log'!$A$4:$A$203,"&lt;"&amp;$A25+7)/SUMIFS('Post Log'!$I$4:$I$203,'Post Log'!$A$4:$A$203,"&gt;="&amp;$A25,'Post Log'!$A$4:$A$203,"&lt;"&amp;$A25+7))</f>
        <v/>
      </c>
      <c r="E25" s="28" t="str">
        <f aca="false">IF(OR($A25="",SUMIFS('Post Log'!$M$4:$M$203,'Post Log'!$A$4:$A$203,"&gt;="&amp;$A25,'Post Log'!$A$4:$A$203,"&lt;"&amp;$A25+7)=0),"",SUMIFS('Post Log'!$L$4:$L$203,'Post Log'!$A$4:$A$203,"&gt;="&amp;$A25,'Post Log'!$A$4:$A$203,"&lt;"&amp;$A25+7)/SUMIFS('Post Log'!$M$4:$M$203,'Post Log'!$A$4:$A$203,"&gt;="&amp;$A25,'Post Log'!$A$4:$A$203,"&lt;"&amp;$A25+7))</f>
        <v/>
      </c>
      <c r="F25" s="26" t="str">
        <f aca="false">IF($A25="","",SUMIFS('Post Log'!$O$4:$O$203,'Post Log'!$A$4:$A$203,"&gt;="&amp;$A25,'Post Log'!$A$4:$A$203,"&lt;"&amp;$A25+7)+SUMIFS('Post Log'!$P$4:$P$203,'Post Log'!$A$4:$A$203,"&gt;="&amp;$A25,'Post Log'!$A$4:$A$203,"&lt;"&amp;$A25+7))</f>
        <v/>
      </c>
      <c r="G25" s="26" t="str">
        <f aca="false">IF($A25="","",SUMIFS('Post Log'!$Q$4:$Q$203,'Post Log'!$A$4:$A$203,"&gt;="&amp;$A25,'Post Log'!$A$4:$A$203,"&lt;"&amp;$A25+7))</f>
        <v/>
      </c>
      <c r="H25" s="26" t="str">
        <f aca="false">IF($A25="","",SUMIFS('Post Log'!$R$4:$R$203,'Post Log'!$A$4:$A$203,"&gt;="&amp;$A25,'Post Log'!$A$4:$A$203,"&lt;"&amp;$A25+7))</f>
        <v/>
      </c>
      <c r="I25" s="26" t="str">
        <f aca="false">IF($A25="","",SUMIFS('Post Log'!$S$4:$S$203,'Post Log'!$A$4:$A$203,"&gt;="&amp;$A25,'Post Log'!$A$4:$A$203,"&lt;"&amp;$A25+7))</f>
        <v/>
      </c>
      <c r="J25" s="27"/>
      <c r="K25" s="27"/>
      <c r="L25" s="26" t="str">
        <f aca="false">IF($D25="","",IF($D25&gt;=Targets!$B$4,"ON TARGET",TEXT(Targets!$B$4-$D25,"0.0%")&amp;" to go"))</f>
        <v/>
      </c>
    </row>
    <row r="26" customFormat="false" ht="15" hidden="false" customHeight="true" outlineLevel="0" collapsed="false">
      <c r="A26" s="25"/>
      <c r="B26" s="26" t="str">
        <f aca="false">IF($A26="","",COUNTIFS('Post Log'!$A$4:$A$203,"&gt;="&amp;$A26,'Post Log'!$A$4:$A$203,"&lt;"&amp;$A26+7))</f>
        <v/>
      </c>
      <c r="C26" s="26" t="str">
        <f aca="false">IF($A26="","",SUMIFS('Post Log'!$I$4:$I$203,'Post Log'!$A$4:$A$203,"&gt;="&amp;$A26,'Post Log'!$A$4:$A$203,"&lt;"&amp;$A26+7))</f>
        <v/>
      </c>
      <c r="D26" s="28" t="str">
        <f aca="false">IF(OR($A26="",SUMIFS('Post Log'!$I$4:$I$203,'Post Log'!$A$4:$A$203,"&gt;="&amp;$A26,'Post Log'!$A$4:$A$203,"&lt;"&amp;$A26+7)=0),"",SUMIFS('Post Log'!$J$4:$J$203,'Post Log'!$A$4:$A$203,"&gt;="&amp;$A26,'Post Log'!$A$4:$A$203,"&lt;"&amp;$A26+7)/SUMIFS('Post Log'!$I$4:$I$203,'Post Log'!$A$4:$A$203,"&gt;="&amp;$A26,'Post Log'!$A$4:$A$203,"&lt;"&amp;$A26+7))</f>
        <v/>
      </c>
      <c r="E26" s="28" t="str">
        <f aca="false">IF(OR($A26="",SUMIFS('Post Log'!$M$4:$M$203,'Post Log'!$A$4:$A$203,"&gt;="&amp;$A26,'Post Log'!$A$4:$A$203,"&lt;"&amp;$A26+7)=0),"",SUMIFS('Post Log'!$L$4:$L$203,'Post Log'!$A$4:$A$203,"&gt;="&amp;$A26,'Post Log'!$A$4:$A$203,"&lt;"&amp;$A26+7)/SUMIFS('Post Log'!$M$4:$M$203,'Post Log'!$A$4:$A$203,"&gt;="&amp;$A26,'Post Log'!$A$4:$A$203,"&lt;"&amp;$A26+7))</f>
        <v/>
      </c>
      <c r="F26" s="26" t="str">
        <f aca="false">IF($A26="","",SUMIFS('Post Log'!$O$4:$O$203,'Post Log'!$A$4:$A$203,"&gt;="&amp;$A26,'Post Log'!$A$4:$A$203,"&lt;"&amp;$A26+7)+SUMIFS('Post Log'!$P$4:$P$203,'Post Log'!$A$4:$A$203,"&gt;="&amp;$A26,'Post Log'!$A$4:$A$203,"&lt;"&amp;$A26+7))</f>
        <v/>
      </c>
      <c r="G26" s="26" t="str">
        <f aca="false">IF($A26="","",SUMIFS('Post Log'!$Q$4:$Q$203,'Post Log'!$A$4:$A$203,"&gt;="&amp;$A26,'Post Log'!$A$4:$A$203,"&lt;"&amp;$A26+7))</f>
        <v/>
      </c>
      <c r="H26" s="26" t="str">
        <f aca="false">IF($A26="","",SUMIFS('Post Log'!$R$4:$R$203,'Post Log'!$A$4:$A$203,"&gt;="&amp;$A26,'Post Log'!$A$4:$A$203,"&lt;"&amp;$A26+7))</f>
        <v/>
      </c>
      <c r="I26" s="26" t="str">
        <f aca="false">IF($A26="","",SUMIFS('Post Log'!$S$4:$S$203,'Post Log'!$A$4:$A$203,"&gt;="&amp;$A26,'Post Log'!$A$4:$A$203,"&lt;"&amp;$A26+7))</f>
        <v/>
      </c>
      <c r="J26" s="27"/>
      <c r="K26" s="27"/>
      <c r="L26" s="26" t="str">
        <f aca="false">IF($D26="","",IF($D26&gt;=Targets!$B$4,"ON TARGET",TEXT(Targets!$B$4-$D26,"0.0%")&amp;" to go"))</f>
        <v/>
      </c>
    </row>
    <row r="27" customFormat="false" ht="15" hidden="false" customHeight="true" outlineLevel="0" collapsed="false">
      <c r="A27" s="25"/>
      <c r="B27" s="26" t="str">
        <f aca="false">IF($A27="","",COUNTIFS('Post Log'!$A$4:$A$203,"&gt;="&amp;$A27,'Post Log'!$A$4:$A$203,"&lt;"&amp;$A27+7))</f>
        <v/>
      </c>
      <c r="C27" s="26" t="str">
        <f aca="false">IF($A27="","",SUMIFS('Post Log'!$I$4:$I$203,'Post Log'!$A$4:$A$203,"&gt;="&amp;$A27,'Post Log'!$A$4:$A$203,"&lt;"&amp;$A27+7))</f>
        <v/>
      </c>
      <c r="D27" s="28" t="str">
        <f aca="false">IF(OR($A27="",SUMIFS('Post Log'!$I$4:$I$203,'Post Log'!$A$4:$A$203,"&gt;="&amp;$A27,'Post Log'!$A$4:$A$203,"&lt;"&amp;$A27+7)=0),"",SUMIFS('Post Log'!$J$4:$J$203,'Post Log'!$A$4:$A$203,"&gt;="&amp;$A27,'Post Log'!$A$4:$A$203,"&lt;"&amp;$A27+7)/SUMIFS('Post Log'!$I$4:$I$203,'Post Log'!$A$4:$A$203,"&gt;="&amp;$A27,'Post Log'!$A$4:$A$203,"&lt;"&amp;$A27+7))</f>
        <v/>
      </c>
      <c r="E27" s="28" t="str">
        <f aca="false">IF(OR($A27="",SUMIFS('Post Log'!$M$4:$M$203,'Post Log'!$A$4:$A$203,"&gt;="&amp;$A27,'Post Log'!$A$4:$A$203,"&lt;"&amp;$A27+7)=0),"",SUMIFS('Post Log'!$L$4:$L$203,'Post Log'!$A$4:$A$203,"&gt;="&amp;$A27,'Post Log'!$A$4:$A$203,"&lt;"&amp;$A27+7)/SUMIFS('Post Log'!$M$4:$M$203,'Post Log'!$A$4:$A$203,"&gt;="&amp;$A27,'Post Log'!$A$4:$A$203,"&lt;"&amp;$A27+7))</f>
        <v/>
      </c>
      <c r="F27" s="26" t="str">
        <f aca="false">IF($A27="","",SUMIFS('Post Log'!$O$4:$O$203,'Post Log'!$A$4:$A$203,"&gt;="&amp;$A27,'Post Log'!$A$4:$A$203,"&lt;"&amp;$A27+7)+SUMIFS('Post Log'!$P$4:$P$203,'Post Log'!$A$4:$A$203,"&gt;="&amp;$A27,'Post Log'!$A$4:$A$203,"&lt;"&amp;$A27+7))</f>
        <v/>
      </c>
      <c r="G27" s="26" t="str">
        <f aca="false">IF($A27="","",SUMIFS('Post Log'!$Q$4:$Q$203,'Post Log'!$A$4:$A$203,"&gt;="&amp;$A27,'Post Log'!$A$4:$A$203,"&lt;"&amp;$A27+7))</f>
        <v/>
      </c>
      <c r="H27" s="26" t="str">
        <f aca="false">IF($A27="","",SUMIFS('Post Log'!$R$4:$R$203,'Post Log'!$A$4:$A$203,"&gt;="&amp;$A27,'Post Log'!$A$4:$A$203,"&lt;"&amp;$A27+7))</f>
        <v/>
      </c>
      <c r="I27" s="26" t="str">
        <f aca="false">IF($A27="","",SUMIFS('Post Log'!$S$4:$S$203,'Post Log'!$A$4:$A$203,"&gt;="&amp;$A27,'Post Log'!$A$4:$A$203,"&lt;"&amp;$A27+7))</f>
        <v/>
      </c>
      <c r="J27" s="27"/>
      <c r="K27" s="27"/>
      <c r="L27" s="26" t="str">
        <f aca="false">IF($D27="","",IF($D27&gt;=Targets!$B$4,"ON TARGET",TEXT(Targets!$B$4-$D27,"0.0%")&amp;" to go"))</f>
        <v/>
      </c>
    </row>
    <row r="28" customFormat="false" ht="15" hidden="false" customHeight="true" outlineLevel="0" collapsed="false">
      <c r="A28" s="25"/>
      <c r="B28" s="26" t="str">
        <f aca="false">IF($A28="","",COUNTIFS('Post Log'!$A$4:$A$203,"&gt;="&amp;$A28,'Post Log'!$A$4:$A$203,"&lt;"&amp;$A28+7))</f>
        <v/>
      </c>
      <c r="C28" s="26" t="str">
        <f aca="false">IF($A28="","",SUMIFS('Post Log'!$I$4:$I$203,'Post Log'!$A$4:$A$203,"&gt;="&amp;$A28,'Post Log'!$A$4:$A$203,"&lt;"&amp;$A28+7))</f>
        <v/>
      </c>
      <c r="D28" s="28" t="str">
        <f aca="false">IF(OR($A28="",SUMIFS('Post Log'!$I$4:$I$203,'Post Log'!$A$4:$A$203,"&gt;="&amp;$A28,'Post Log'!$A$4:$A$203,"&lt;"&amp;$A28+7)=0),"",SUMIFS('Post Log'!$J$4:$J$203,'Post Log'!$A$4:$A$203,"&gt;="&amp;$A28,'Post Log'!$A$4:$A$203,"&lt;"&amp;$A28+7)/SUMIFS('Post Log'!$I$4:$I$203,'Post Log'!$A$4:$A$203,"&gt;="&amp;$A28,'Post Log'!$A$4:$A$203,"&lt;"&amp;$A28+7))</f>
        <v/>
      </c>
      <c r="E28" s="28" t="str">
        <f aca="false">IF(OR($A28="",SUMIFS('Post Log'!$M$4:$M$203,'Post Log'!$A$4:$A$203,"&gt;="&amp;$A28,'Post Log'!$A$4:$A$203,"&lt;"&amp;$A28+7)=0),"",SUMIFS('Post Log'!$L$4:$L$203,'Post Log'!$A$4:$A$203,"&gt;="&amp;$A28,'Post Log'!$A$4:$A$203,"&lt;"&amp;$A28+7)/SUMIFS('Post Log'!$M$4:$M$203,'Post Log'!$A$4:$A$203,"&gt;="&amp;$A28,'Post Log'!$A$4:$A$203,"&lt;"&amp;$A28+7))</f>
        <v/>
      </c>
      <c r="F28" s="26" t="str">
        <f aca="false">IF($A28="","",SUMIFS('Post Log'!$O$4:$O$203,'Post Log'!$A$4:$A$203,"&gt;="&amp;$A28,'Post Log'!$A$4:$A$203,"&lt;"&amp;$A28+7)+SUMIFS('Post Log'!$P$4:$P$203,'Post Log'!$A$4:$A$203,"&gt;="&amp;$A28,'Post Log'!$A$4:$A$203,"&lt;"&amp;$A28+7))</f>
        <v/>
      </c>
      <c r="G28" s="26" t="str">
        <f aca="false">IF($A28="","",SUMIFS('Post Log'!$Q$4:$Q$203,'Post Log'!$A$4:$A$203,"&gt;="&amp;$A28,'Post Log'!$A$4:$A$203,"&lt;"&amp;$A28+7))</f>
        <v/>
      </c>
      <c r="H28" s="26" t="str">
        <f aca="false">IF($A28="","",SUMIFS('Post Log'!$R$4:$R$203,'Post Log'!$A$4:$A$203,"&gt;="&amp;$A28,'Post Log'!$A$4:$A$203,"&lt;"&amp;$A28+7))</f>
        <v/>
      </c>
      <c r="I28" s="26" t="str">
        <f aca="false">IF($A28="","",SUMIFS('Post Log'!$S$4:$S$203,'Post Log'!$A$4:$A$203,"&gt;="&amp;$A28,'Post Log'!$A$4:$A$203,"&lt;"&amp;$A28+7))</f>
        <v/>
      </c>
      <c r="J28" s="27"/>
      <c r="K28" s="27"/>
      <c r="L28" s="26" t="str">
        <f aca="false">IF($D28="","",IF($D28&gt;=Targets!$B$4,"ON TARGET",TEXT(Targets!$B$4-$D28,"0.0%")&amp;" to go"))</f>
        <v/>
      </c>
    </row>
    <row r="29" customFormat="false" ht="15" hidden="false" customHeight="true" outlineLevel="0" collapsed="false">
      <c r="A29" s="25"/>
      <c r="B29" s="26" t="str">
        <f aca="false">IF($A29="","",COUNTIFS('Post Log'!$A$4:$A$203,"&gt;="&amp;$A29,'Post Log'!$A$4:$A$203,"&lt;"&amp;$A29+7))</f>
        <v/>
      </c>
      <c r="C29" s="26" t="str">
        <f aca="false">IF($A29="","",SUMIFS('Post Log'!$I$4:$I$203,'Post Log'!$A$4:$A$203,"&gt;="&amp;$A29,'Post Log'!$A$4:$A$203,"&lt;"&amp;$A29+7))</f>
        <v/>
      </c>
      <c r="D29" s="28" t="str">
        <f aca="false">IF(OR($A29="",SUMIFS('Post Log'!$I$4:$I$203,'Post Log'!$A$4:$A$203,"&gt;="&amp;$A29,'Post Log'!$A$4:$A$203,"&lt;"&amp;$A29+7)=0),"",SUMIFS('Post Log'!$J$4:$J$203,'Post Log'!$A$4:$A$203,"&gt;="&amp;$A29,'Post Log'!$A$4:$A$203,"&lt;"&amp;$A29+7)/SUMIFS('Post Log'!$I$4:$I$203,'Post Log'!$A$4:$A$203,"&gt;="&amp;$A29,'Post Log'!$A$4:$A$203,"&lt;"&amp;$A29+7))</f>
        <v/>
      </c>
      <c r="E29" s="28" t="str">
        <f aca="false">IF(OR($A29="",SUMIFS('Post Log'!$M$4:$M$203,'Post Log'!$A$4:$A$203,"&gt;="&amp;$A29,'Post Log'!$A$4:$A$203,"&lt;"&amp;$A29+7)=0),"",SUMIFS('Post Log'!$L$4:$L$203,'Post Log'!$A$4:$A$203,"&gt;="&amp;$A29,'Post Log'!$A$4:$A$203,"&lt;"&amp;$A29+7)/SUMIFS('Post Log'!$M$4:$M$203,'Post Log'!$A$4:$A$203,"&gt;="&amp;$A29,'Post Log'!$A$4:$A$203,"&lt;"&amp;$A29+7))</f>
        <v/>
      </c>
      <c r="F29" s="26" t="str">
        <f aca="false">IF($A29="","",SUMIFS('Post Log'!$O$4:$O$203,'Post Log'!$A$4:$A$203,"&gt;="&amp;$A29,'Post Log'!$A$4:$A$203,"&lt;"&amp;$A29+7)+SUMIFS('Post Log'!$P$4:$P$203,'Post Log'!$A$4:$A$203,"&gt;="&amp;$A29,'Post Log'!$A$4:$A$203,"&lt;"&amp;$A29+7))</f>
        <v/>
      </c>
      <c r="G29" s="26" t="str">
        <f aca="false">IF($A29="","",SUMIFS('Post Log'!$Q$4:$Q$203,'Post Log'!$A$4:$A$203,"&gt;="&amp;$A29,'Post Log'!$A$4:$A$203,"&lt;"&amp;$A29+7))</f>
        <v/>
      </c>
      <c r="H29" s="26" t="str">
        <f aca="false">IF($A29="","",SUMIFS('Post Log'!$R$4:$R$203,'Post Log'!$A$4:$A$203,"&gt;="&amp;$A29,'Post Log'!$A$4:$A$203,"&lt;"&amp;$A29+7))</f>
        <v/>
      </c>
      <c r="I29" s="26" t="str">
        <f aca="false">IF($A29="","",SUMIFS('Post Log'!$S$4:$S$203,'Post Log'!$A$4:$A$203,"&gt;="&amp;$A29,'Post Log'!$A$4:$A$203,"&lt;"&amp;$A29+7))</f>
        <v/>
      </c>
      <c r="J29" s="27"/>
      <c r="K29" s="27"/>
      <c r="L29" s="26" t="str">
        <f aca="false">IF($D29="","",IF($D29&gt;=Targets!$B$4,"ON TARGET",TEXT(Targets!$B$4-$D29,"0.0%")&amp;" to go"))</f>
        <v/>
      </c>
    </row>
  </sheetData>
  <mergeCells count="2">
    <mergeCell ref="A1:L1"/>
    <mergeCell ref="A2:L2"/>
  </mergeCells>
  <conditionalFormatting sqref="D4:D29">
    <cfRule type="cellIs" priority="2" operator="greaterThanOrEqual" aboveAverage="0" equalAverage="0" bottom="0" percent="0" rank="0" text="" dxfId="1">
      <formula>0.25</formula>
    </cfRule>
    <cfRule type="cellIs" priority="3" operator="lessThan" aboveAverage="0" equalAverage="0" bottom="0" percent="0" rank="0" text="" dxfId="2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4" width="11"/>
    <col collapsed="false" customWidth="true" hidden="false" outlineLevel="0" max="3" min="2" style="24" width="16"/>
    <col collapsed="false" customWidth="true" hidden="false" outlineLevel="0" max="4" min="4" style="24" width="11"/>
    <col collapsed="false" customWidth="true" hidden="false" outlineLevel="0" max="5" min="5" style="24" width="18"/>
    <col collapsed="false" customWidth="true" hidden="false" outlineLevel="0" max="6" min="6" style="24" width="16"/>
    <col collapsed="false" customWidth="true" hidden="false" outlineLevel="0" max="7" min="7" style="24" width="14"/>
    <col collapsed="false" customWidth="true" hidden="false" outlineLevel="0" max="8" min="8" style="24" width="13"/>
    <col collapsed="false" customWidth="true" hidden="false" outlineLevel="0" max="9" min="9" style="24" width="16"/>
    <col collapsed="false" customWidth="true" hidden="false" outlineLevel="0" max="10" min="10" style="24" width="11"/>
    <col collapsed="false" customWidth="true" hidden="false" outlineLevel="0" max="11" min="11" style="24" width="18"/>
    <col collapsed="false" customWidth="true" hidden="false" outlineLevel="0" max="12" min="12" style="24" width="13"/>
    <col collapsed="false" customWidth="true" hidden="false" outlineLevel="0" max="13" min="13" style="24" width="11"/>
    <col collapsed="false" customWidth="true" hidden="false" outlineLevel="0" max="14" min="14" style="24" width="30"/>
  </cols>
  <sheetData>
    <row r="1" customFormat="false" ht="24" hidden="false" customHeight="true" outlineLevel="0" collapsed="false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247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3.75" hidden="false" customHeight="true" outlineLevel="0" collapsed="false">
      <c r="A3" s="3" t="s">
        <v>248</v>
      </c>
      <c r="B3" s="3" t="s">
        <v>249</v>
      </c>
      <c r="C3" s="3" t="s">
        <v>250</v>
      </c>
      <c r="D3" s="3" t="s">
        <v>251</v>
      </c>
      <c r="E3" s="3" t="s">
        <v>252</v>
      </c>
      <c r="F3" s="3" t="s">
        <v>253</v>
      </c>
      <c r="G3" s="3" t="s">
        <v>254</v>
      </c>
      <c r="H3" s="3" t="s">
        <v>255</v>
      </c>
      <c r="I3" s="3" t="s">
        <v>256</v>
      </c>
      <c r="J3" s="3" t="s">
        <v>257</v>
      </c>
      <c r="K3" s="3" t="s">
        <v>258</v>
      </c>
      <c r="L3" s="3" t="s">
        <v>259</v>
      </c>
      <c r="M3" s="3" t="s">
        <v>260</v>
      </c>
      <c r="N3" s="3" t="s">
        <v>230</v>
      </c>
    </row>
    <row r="4" customFormat="false" ht="15" hidden="false" customHeight="true" outlineLevel="0" collapsed="false">
      <c r="A4" s="25" t="n">
        <v>46259</v>
      </c>
      <c r="B4" s="27" t="s">
        <v>261</v>
      </c>
      <c r="C4" s="27" t="s">
        <v>262</v>
      </c>
      <c r="D4" s="27" t="s">
        <v>263</v>
      </c>
      <c r="E4" s="27" t="s">
        <v>264</v>
      </c>
      <c r="F4" s="27" t="s">
        <v>265</v>
      </c>
      <c r="G4" s="27" t="s">
        <v>266</v>
      </c>
      <c r="H4" s="27" t="s">
        <v>267</v>
      </c>
      <c r="I4" s="27" t="s">
        <v>235</v>
      </c>
      <c r="J4" s="27" t="s">
        <v>268</v>
      </c>
      <c r="K4" s="27" t="s">
        <v>269</v>
      </c>
      <c r="L4" s="25" t="n">
        <v>46266</v>
      </c>
      <c r="M4" s="26" t="str">
        <f aca="true">IF($A4="","",IF($K4&lt;&gt;"","",TODAY()-$A4))</f>
        <v/>
      </c>
      <c r="N4" s="27" t="s">
        <v>270</v>
      </c>
    </row>
    <row r="5" customFormat="false" ht="15" hidden="false" customHeight="true" outlineLevel="0" collapsed="false">
      <c r="A5" s="25"/>
      <c r="B5" s="27"/>
      <c r="C5" s="27"/>
      <c r="D5" s="27"/>
      <c r="E5" s="27"/>
      <c r="F5" s="27"/>
      <c r="G5" s="27"/>
      <c r="H5" s="27"/>
      <c r="I5" s="27"/>
      <c r="J5" s="27"/>
      <c r="K5" s="27"/>
      <c r="L5" s="25"/>
      <c r="M5" s="26" t="str">
        <f aca="true">IF($A5="","",IF($K5&lt;&gt;"","",TODAY()-$A5))</f>
        <v/>
      </c>
      <c r="N5" s="27"/>
    </row>
    <row r="6" customFormat="false" ht="15" hidden="false" customHeight="true" outlineLevel="0" collapsed="false">
      <c r="A6" s="25"/>
      <c r="B6" s="27"/>
      <c r="C6" s="27"/>
      <c r="D6" s="27"/>
      <c r="E6" s="27"/>
      <c r="F6" s="27"/>
      <c r="G6" s="27"/>
      <c r="H6" s="27"/>
      <c r="I6" s="27"/>
      <c r="J6" s="27"/>
      <c r="K6" s="27"/>
      <c r="L6" s="25"/>
      <c r="M6" s="26" t="str">
        <f aca="true">IF($A6="","",IF($K6&lt;&gt;"","",TODAY()-$A6))</f>
        <v/>
      </c>
      <c r="N6" s="27"/>
    </row>
    <row r="7" customFormat="false" ht="15" hidden="false" customHeight="true" outlineLevel="0" collapsed="false">
      <c r="A7" s="25"/>
      <c r="B7" s="27"/>
      <c r="C7" s="27"/>
      <c r="D7" s="27"/>
      <c r="E7" s="27"/>
      <c r="F7" s="27"/>
      <c r="G7" s="27"/>
      <c r="H7" s="27"/>
      <c r="I7" s="27"/>
      <c r="J7" s="27"/>
      <c r="K7" s="27"/>
      <c r="L7" s="25"/>
      <c r="M7" s="26" t="str">
        <f aca="true">IF($A7="","",IF($K7&lt;&gt;"","",TODAY()-$A7))</f>
        <v/>
      </c>
      <c r="N7" s="27"/>
    </row>
    <row r="8" customFormat="false" ht="15" hidden="false" customHeight="true" outlineLevel="0" collapsed="false">
      <c r="A8" s="25"/>
      <c r="B8" s="27"/>
      <c r="C8" s="27"/>
      <c r="D8" s="27"/>
      <c r="E8" s="27"/>
      <c r="F8" s="27"/>
      <c r="G8" s="27"/>
      <c r="H8" s="27"/>
      <c r="I8" s="27"/>
      <c r="J8" s="27"/>
      <c r="K8" s="27"/>
      <c r="L8" s="25"/>
      <c r="M8" s="26" t="str">
        <f aca="true">IF($A8="","",IF($K8&lt;&gt;"","",TODAY()-$A8))</f>
        <v/>
      </c>
      <c r="N8" s="27"/>
    </row>
    <row r="9" customFormat="false" ht="15" hidden="false" customHeight="true" outlineLevel="0" collapsed="false">
      <c r="A9" s="25"/>
      <c r="B9" s="27"/>
      <c r="C9" s="27"/>
      <c r="D9" s="27"/>
      <c r="E9" s="27"/>
      <c r="F9" s="27"/>
      <c r="G9" s="27"/>
      <c r="H9" s="27"/>
      <c r="I9" s="27"/>
      <c r="J9" s="27"/>
      <c r="K9" s="27"/>
      <c r="L9" s="25"/>
      <c r="M9" s="26" t="str">
        <f aca="true">IF($A9="","",IF($K9&lt;&gt;"","",TODAY()-$A9))</f>
        <v/>
      </c>
      <c r="N9" s="27"/>
    </row>
    <row r="10" customFormat="false" ht="15" hidden="false" customHeight="true" outlineLevel="0" collapsed="false">
      <c r="A10" s="2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5"/>
      <c r="M10" s="26" t="str">
        <f aca="true">IF($A10="","",IF($K10&lt;&gt;"","",TODAY()-$A10))</f>
        <v/>
      </c>
      <c r="N10" s="27"/>
    </row>
    <row r="11" customFormat="false" ht="15" hidden="false" customHeight="true" outlineLevel="0" collapsed="false">
      <c r="A11" s="2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5"/>
      <c r="M11" s="26" t="str">
        <f aca="true">IF($A11="","",IF($K11&lt;&gt;"","",TODAY()-$A11))</f>
        <v/>
      </c>
      <c r="N11" s="27"/>
    </row>
    <row r="12" customFormat="false" ht="15" hidden="false" customHeight="true" outlineLevel="0" collapsed="false">
      <c r="A12" s="2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5"/>
      <c r="M12" s="26" t="str">
        <f aca="true">IF($A12="","",IF($K12&lt;&gt;"","",TODAY()-$A12))</f>
        <v/>
      </c>
      <c r="N12" s="27"/>
    </row>
    <row r="13" customFormat="false" ht="15" hidden="false" customHeight="true" outlineLevel="0" collapsed="false">
      <c r="A13" s="2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5"/>
      <c r="M13" s="26" t="str">
        <f aca="true">IF($A13="","",IF($K13&lt;&gt;"","",TODAY()-$A13))</f>
        <v/>
      </c>
      <c r="N13" s="27"/>
    </row>
    <row r="14" customFormat="false" ht="15" hidden="false" customHeight="true" outlineLevel="0" collapsed="false">
      <c r="A14" s="25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5"/>
      <c r="M14" s="26" t="str">
        <f aca="true">IF($A14="","",IF($K14&lt;&gt;"","",TODAY()-$A14))</f>
        <v/>
      </c>
      <c r="N14" s="27"/>
    </row>
    <row r="15" customFormat="false" ht="15" hidden="false" customHeight="true" outlineLevel="0" collapsed="false">
      <c r="A15" s="25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5"/>
      <c r="M15" s="26" t="str">
        <f aca="true">IF($A15="","",IF($K15&lt;&gt;"","",TODAY()-$A15))</f>
        <v/>
      </c>
      <c r="N15" s="27"/>
    </row>
    <row r="16" customFormat="false" ht="15" hidden="false" customHeight="true" outlineLevel="0" collapsed="false">
      <c r="A16" s="2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5"/>
      <c r="M16" s="26" t="str">
        <f aca="true">IF($A16="","",IF($K16&lt;&gt;"","",TODAY()-$A16))</f>
        <v/>
      </c>
      <c r="N16" s="27"/>
    </row>
    <row r="17" customFormat="false" ht="15" hidden="false" customHeight="true" outlineLevel="0" collapsed="false">
      <c r="A17" s="2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5"/>
      <c r="M17" s="26" t="str">
        <f aca="true">IF($A17="","",IF($K17&lt;&gt;"","",TODAY()-$A17))</f>
        <v/>
      </c>
      <c r="N17" s="27"/>
    </row>
    <row r="18" customFormat="false" ht="15" hidden="false" customHeight="true" outlineLevel="0" collapsed="false">
      <c r="A18" s="25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5"/>
      <c r="M18" s="26" t="str">
        <f aca="true">IF($A18="","",IF($K18&lt;&gt;"","",TODAY()-$A18))</f>
        <v/>
      </c>
      <c r="N18" s="27"/>
    </row>
    <row r="19" customFormat="false" ht="15" hidden="false" customHeight="true" outlineLevel="0" collapsed="false">
      <c r="A19" s="25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5"/>
      <c r="M19" s="26" t="str">
        <f aca="true">IF($A19="","",IF($K19&lt;&gt;"","",TODAY()-$A19))</f>
        <v/>
      </c>
      <c r="N19" s="27"/>
    </row>
    <row r="20" customFormat="false" ht="15" hidden="false" customHeight="true" outlineLevel="0" collapsed="false">
      <c r="A20" s="2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5"/>
      <c r="M20" s="26" t="str">
        <f aca="true">IF($A20="","",IF($K20&lt;&gt;"","",TODAY()-$A20))</f>
        <v/>
      </c>
      <c r="N20" s="27"/>
    </row>
    <row r="21" customFormat="false" ht="15" hidden="false" customHeight="true" outlineLevel="0" collapsed="false">
      <c r="A21" s="25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5"/>
      <c r="M21" s="26" t="str">
        <f aca="true">IF($A21="","",IF($K21&lt;&gt;"","",TODAY()-$A21))</f>
        <v/>
      </c>
      <c r="N21" s="27"/>
    </row>
    <row r="22" customFormat="false" ht="15" hidden="false" customHeight="true" outlineLevel="0" collapsed="false">
      <c r="A22" s="25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5"/>
      <c r="M22" s="26" t="str">
        <f aca="true">IF($A22="","",IF($K22&lt;&gt;"","",TODAY()-$A22))</f>
        <v/>
      </c>
      <c r="N22" s="27"/>
    </row>
    <row r="23" customFormat="false" ht="15" hidden="false" customHeight="true" outlineLevel="0" collapsed="false">
      <c r="A23" s="2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5"/>
      <c r="M23" s="26" t="str">
        <f aca="true">IF($A23="","",IF($K23&lt;&gt;"","",TODAY()-$A23))</f>
        <v/>
      </c>
      <c r="N23" s="27"/>
    </row>
    <row r="24" customFormat="false" ht="15" hidden="false" customHeight="true" outlineLevel="0" collapsed="false">
      <c r="A24" s="2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5"/>
      <c r="M24" s="26" t="str">
        <f aca="true">IF($A24="","",IF($K24&lt;&gt;"","",TODAY()-$A24))</f>
        <v/>
      </c>
      <c r="N24" s="27"/>
    </row>
    <row r="25" customFormat="false" ht="15" hidden="false" customHeight="true" outlineLevel="0" collapsed="false">
      <c r="A25" s="2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5"/>
      <c r="M25" s="26" t="str">
        <f aca="true">IF($A25="","",IF($K25&lt;&gt;"","",TODAY()-$A25))</f>
        <v/>
      </c>
      <c r="N25" s="27"/>
    </row>
    <row r="26" customFormat="false" ht="15" hidden="false" customHeight="true" outlineLevel="0" collapsed="false">
      <c r="A26" s="2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5"/>
      <c r="M26" s="26" t="str">
        <f aca="true">IF($A26="","",IF($K26&lt;&gt;"","",TODAY()-$A26))</f>
        <v/>
      </c>
      <c r="N26" s="27"/>
    </row>
    <row r="27" customFormat="false" ht="15" hidden="false" customHeight="true" outlineLevel="0" collapsed="false">
      <c r="A27" s="2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5"/>
      <c r="M27" s="26" t="str">
        <f aca="true">IF($A27="","",IF($K27&lt;&gt;"","",TODAY()-$A27))</f>
        <v/>
      </c>
      <c r="N27" s="27"/>
    </row>
    <row r="28" customFormat="false" ht="15" hidden="false" customHeight="true" outlineLevel="0" collapsed="false">
      <c r="A28" s="2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5"/>
      <c r="M28" s="26" t="str">
        <f aca="true">IF($A28="","",IF($K28&lt;&gt;"","",TODAY()-$A28))</f>
        <v/>
      </c>
      <c r="N28" s="27"/>
    </row>
    <row r="29" customFormat="false" ht="15" hidden="false" customHeight="true" outlineLevel="0" collapsed="false">
      <c r="A29" s="2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5"/>
      <c r="M29" s="26" t="str">
        <f aca="true">IF($A29="","",IF($K29&lt;&gt;"","",TODAY()-$A29))</f>
        <v/>
      </c>
      <c r="N29" s="27"/>
    </row>
    <row r="30" customFormat="false" ht="15" hidden="false" customHeight="true" outlineLevel="0" collapsed="false">
      <c r="A30" s="2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5"/>
      <c r="M30" s="26" t="str">
        <f aca="true">IF($A30="","",IF($K30&lt;&gt;"","",TODAY()-$A30))</f>
        <v/>
      </c>
      <c r="N30" s="27"/>
    </row>
    <row r="31" customFormat="false" ht="15" hidden="false" customHeight="true" outlineLevel="0" collapsed="false">
      <c r="A31" s="2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5"/>
      <c r="M31" s="26" t="str">
        <f aca="true">IF($A31="","",IF($K31&lt;&gt;"","",TODAY()-$A31))</f>
        <v/>
      </c>
      <c r="N31" s="27"/>
    </row>
    <row r="32" customFormat="false" ht="1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5"/>
      <c r="M32" s="26" t="str">
        <f aca="true">IF($A32="","",IF($K32&lt;&gt;"","",TODAY()-$A32))</f>
        <v/>
      </c>
      <c r="N32" s="27"/>
    </row>
    <row r="33" customFormat="false" ht="15" hidden="false" customHeight="true" outlineLevel="0" collapsed="false">
      <c r="A33" s="2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5"/>
      <c r="M33" s="26" t="str">
        <f aca="true">IF($A33="","",IF($K33&lt;&gt;"","",TODAY()-$A33))</f>
        <v/>
      </c>
      <c r="N33" s="27"/>
    </row>
    <row r="34" customFormat="false" ht="15" hidden="false" customHeight="true" outlineLevel="0" collapsed="false">
      <c r="A34" s="25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5"/>
      <c r="M34" s="26" t="str">
        <f aca="true">IF($A34="","",IF($K34&lt;&gt;"","",TODAY()-$A34))</f>
        <v/>
      </c>
      <c r="N34" s="27"/>
    </row>
    <row r="35" customFormat="false" ht="15" hidden="false" customHeight="true" outlineLevel="0" collapsed="false">
      <c r="A35" s="2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5"/>
      <c r="M35" s="26" t="str">
        <f aca="true">IF($A35="","",IF($K35&lt;&gt;"","",TODAY()-$A35))</f>
        <v/>
      </c>
      <c r="N35" s="27"/>
    </row>
    <row r="36" customFormat="false" ht="15" hidden="false" customHeight="true" outlineLevel="0" collapsed="false">
      <c r="A36" s="25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5"/>
      <c r="M36" s="26" t="str">
        <f aca="true">IF($A36="","",IF($K36&lt;&gt;"","",TODAY()-$A36))</f>
        <v/>
      </c>
      <c r="N36" s="27"/>
    </row>
    <row r="37" customFormat="false" ht="15" hidden="false" customHeight="true" outlineLevel="0" collapsed="false">
      <c r="A37" s="25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5"/>
      <c r="M37" s="26" t="str">
        <f aca="true">IF($A37="","",IF($K37&lt;&gt;"","",TODAY()-$A37))</f>
        <v/>
      </c>
      <c r="N37" s="27"/>
    </row>
    <row r="38" customFormat="false" ht="15" hidden="false" customHeight="true" outlineLevel="0" collapsed="false">
      <c r="A38" s="25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5"/>
      <c r="M38" s="26" t="str">
        <f aca="true">IF($A38="","",IF($K38&lt;&gt;"","",TODAY()-$A38))</f>
        <v/>
      </c>
      <c r="N38" s="27"/>
    </row>
    <row r="39" customFormat="false" ht="15" hidden="false" customHeight="true" outlineLevel="0" collapsed="false">
      <c r="A39" s="25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5"/>
      <c r="M39" s="26" t="str">
        <f aca="true">IF($A39="","",IF($K39&lt;&gt;"","",TODAY()-$A39))</f>
        <v/>
      </c>
      <c r="N39" s="27"/>
    </row>
    <row r="40" customFormat="false" ht="15" hidden="false" customHeight="true" outlineLevel="0" collapsed="false">
      <c r="A40" s="25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5"/>
      <c r="M40" s="26" t="str">
        <f aca="true">IF($A40="","",IF($K40&lt;&gt;"","",TODAY()-$A40))</f>
        <v/>
      </c>
      <c r="N40" s="27"/>
    </row>
    <row r="41" customFormat="false" ht="15" hidden="false" customHeight="true" outlineLevel="0" collapsed="false">
      <c r="A41" s="25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5"/>
      <c r="M41" s="26" t="str">
        <f aca="true">IF($A41="","",IF($K41&lt;&gt;"","",TODAY()-$A41))</f>
        <v/>
      </c>
      <c r="N41" s="27"/>
    </row>
    <row r="42" customFormat="false" ht="15" hidden="false" customHeight="true" outlineLevel="0" collapsed="false">
      <c r="A42" s="2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5"/>
      <c r="M42" s="26" t="str">
        <f aca="true">IF($A42="","",IF($K42&lt;&gt;"","",TODAY()-$A42))</f>
        <v/>
      </c>
      <c r="N42" s="27"/>
    </row>
    <row r="43" customFormat="false" ht="15" hidden="false" customHeight="true" outlineLevel="0" collapsed="false">
      <c r="A43" s="2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5"/>
      <c r="M43" s="26" t="str">
        <f aca="true">IF($A43="","",IF($K43&lt;&gt;"","",TODAY()-$A43))</f>
        <v/>
      </c>
      <c r="N43" s="27"/>
    </row>
    <row r="44" customFormat="false" ht="15" hidden="false" customHeight="true" outlineLevel="0" collapsed="false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5"/>
      <c r="M44" s="26" t="str">
        <f aca="true">IF($A44="","",IF($K44&lt;&gt;"","",TODAY()-$A44))</f>
        <v/>
      </c>
      <c r="N44" s="27"/>
    </row>
    <row r="45" customFormat="false" ht="15" hidden="false" customHeight="true" outlineLevel="0" collapsed="false">
      <c r="A45" s="2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5"/>
      <c r="M45" s="26" t="str">
        <f aca="true">IF($A45="","",IF($K45&lt;&gt;"","",TODAY()-$A45))</f>
        <v/>
      </c>
      <c r="N45" s="27"/>
    </row>
    <row r="46" customFormat="false" ht="15" hidden="false" customHeight="true" outlineLevel="0" collapsed="false">
      <c r="A46" s="2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5"/>
      <c r="M46" s="26" t="str">
        <f aca="true">IF($A46="","",IF($K46&lt;&gt;"","",TODAY()-$A46))</f>
        <v/>
      </c>
      <c r="N46" s="27"/>
    </row>
    <row r="47" customFormat="false" ht="15" hidden="false" customHeight="true" outlineLevel="0" collapsed="false">
      <c r="A47" s="2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5"/>
      <c r="M47" s="26" t="str">
        <f aca="true">IF($A47="","",IF($K47&lt;&gt;"","",TODAY()-$A47))</f>
        <v/>
      </c>
      <c r="N47" s="27"/>
    </row>
    <row r="48" customFormat="false" ht="15" hidden="false" customHeight="true" outlineLevel="0" collapsed="false">
      <c r="A48" s="2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5"/>
      <c r="M48" s="26" t="str">
        <f aca="true">IF($A48="","",IF($K48&lt;&gt;"","",TODAY()-$A48))</f>
        <v/>
      </c>
      <c r="N48" s="27"/>
    </row>
    <row r="49" customFormat="false" ht="15" hidden="false" customHeight="true" outlineLevel="0" collapsed="false">
      <c r="A49" s="2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5"/>
      <c r="M49" s="26" t="str">
        <f aca="true">IF($A49="","",IF($K49&lt;&gt;"","",TODAY()-$A49))</f>
        <v/>
      </c>
      <c r="N49" s="27"/>
    </row>
    <row r="50" customFormat="false" ht="15" hidden="false" customHeight="true" outlineLevel="0" collapsed="false">
      <c r="A50" s="2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5"/>
      <c r="M50" s="26" t="str">
        <f aca="true">IF($A50="","",IF($K50&lt;&gt;"","",TODAY()-$A50))</f>
        <v/>
      </c>
      <c r="N50" s="27"/>
    </row>
    <row r="51" customFormat="false" ht="15" hidden="false" customHeight="true" outlineLevel="0" collapsed="false">
      <c r="A51" s="2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5"/>
      <c r="M51" s="26" t="str">
        <f aca="true">IF($A51="","",IF($K51&lt;&gt;"","",TODAY()-$A51))</f>
        <v/>
      </c>
      <c r="N51" s="27"/>
    </row>
    <row r="52" customFormat="false" ht="15" hidden="false" customHeight="true" outlineLevel="0" collapsed="false">
      <c r="A52" s="2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5"/>
      <c r="M52" s="26" t="str">
        <f aca="true">IF($A52="","",IF($K52&lt;&gt;"","",TODAY()-$A52))</f>
        <v/>
      </c>
      <c r="N52" s="27"/>
    </row>
    <row r="53" customFormat="false" ht="15" hidden="false" customHeight="true" outlineLevel="0" collapsed="false">
      <c r="A53" s="25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5"/>
      <c r="M53" s="26" t="str">
        <f aca="true">IF($A53="","",IF($K53&lt;&gt;"","",TODAY()-$A53))</f>
        <v/>
      </c>
      <c r="N53" s="27"/>
    </row>
    <row r="54" customFormat="false" ht="15" hidden="false" customHeight="true" outlineLevel="0" collapsed="false">
      <c r="A54" s="25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5"/>
      <c r="M54" s="26" t="str">
        <f aca="true">IF($A54="","",IF($K54&lt;&gt;"","",TODAY()-$A54))</f>
        <v/>
      </c>
      <c r="N54" s="27"/>
    </row>
    <row r="55" customFormat="false" ht="15" hidden="false" customHeight="true" outlineLevel="0" collapsed="false">
      <c r="A55" s="25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5"/>
      <c r="M55" s="26" t="str">
        <f aca="true">IF($A55="","",IF($K55&lt;&gt;"","",TODAY()-$A55))</f>
        <v/>
      </c>
      <c r="N55" s="27"/>
    </row>
    <row r="56" customFormat="false" ht="15" hidden="false" customHeight="true" outlineLevel="0" collapsed="false">
      <c r="A56" s="25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5"/>
      <c r="M56" s="26" t="str">
        <f aca="true">IF($A56="","",IF($K56&lt;&gt;"","",TODAY()-$A56))</f>
        <v/>
      </c>
      <c r="N56" s="27"/>
    </row>
    <row r="57" customFormat="false" ht="15" hidden="false" customHeight="true" outlineLevel="0" collapsed="false">
      <c r="A57" s="25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5"/>
      <c r="M57" s="26" t="str">
        <f aca="true">IF($A57="","",IF($K57&lt;&gt;"","",TODAY()-$A57))</f>
        <v/>
      </c>
      <c r="N57" s="27"/>
    </row>
    <row r="58" customFormat="false" ht="15" hidden="false" customHeight="true" outlineLevel="0" collapsed="false">
      <c r="A58" s="25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5"/>
      <c r="M58" s="26" t="str">
        <f aca="true">IF($A58="","",IF($K58&lt;&gt;"","",TODAY()-$A58))</f>
        <v/>
      </c>
      <c r="N58" s="27"/>
    </row>
    <row r="59" customFormat="false" ht="15" hidden="false" customHeight="true" outlineLevel="0" collapsed="false">
      <c r="A59" s="25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5"/>
      <c r="M59" s="26" t="str">
        <f aca="true">IF($A59="","",IF($K59&lt;&gt;"","",TODAY()-$A59))</f>
        <v/>
      </c>
      <c r="N59" s="27"/>
    </row>
    <row r="60" customFormat="false" ht="15" hidden="false" customHeight="true" outlineLevel="0" collapsed="false">
      <c r="A60" s="25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5"/>
      <c r="M60" s="26" t="str">
        <f aca="true">IF($A60="","",IF($K60&lt;&gt;"","",TODAY()-$A60))</f>
        <v/>
      </c>
      <c r="N60" s="27"/>
    </row>
    <row r="61" customFormat="false" ht="15" hidden="false" customHeight="true" outlineLevel="0" collapsed="false">
      <c r="A61" s="25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5"/>
      <c r="M61" s="26" t="str">
        <f aca="true">IF($A61="","",IF($K61&lt;&gt;"","",TODAY()-$A61))</f>
        <v/>
      </c>
      <c r="N61" s="27"/>
    </row>
    <row r="62" customFormat="false" ht="15" hidden="false" customHeight="true" outlineLevel="0" collapsed="false">
      <c r="A62" s="25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5"/>
      <c r="M62" s="26" t="str">
        <f aca="true">IF($A62="","",IF($K62&lt;&gt;"","",TODAY()-$A62))</f>
        <v/>
      </c>
      <c r="N62" s="27"/>
    </row>
    <row r="63" customFormat="false" ht="15" hidden="false" customHeight="true" outlineLevel="0" collapsed="false">
      <c r="A63" s="25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5"/>
      <c r="M63" s="26" t="str">
        <f aca="true">IF($A63="","",IF($K63&lt;&gt;"","",TODAY()-$A63))</f>
        <v/>
      </c>
      <c r="N63" s="27"/>
    </row>
    <row r="64" customFormat="false" ht="15" hidden="false" customHeight="true" outlineLevel="0" collapsed="false">
      <c r="A64" s="25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5"/>
      <c r="M64" s="26" t="str">
        <f aca="true">IF($A64="","",IF($K64&lt;&gt;"","",TODAY()-$A64))</f>
        <v/>
      </c>
      <c r="N64" s="27"/>
    </row>
    <row r="65" customFormat="false" ht="15" hidden="false" customHeight="true" outlineLevel="0" collapsed="false">
      <c r="A65" s="25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5"/>
      <c r="M65" s="26" t="str">
        <f aca="true">IF($A65="","",IF($K65&lt;&gt;"","",TODAY()-$A65))</f>
        <v/>
      </c>
      <c r="N65" s="27"/>
    </row>
    <row r="66" customFormat="false" ht="15" hidden="false" customHeight="true" outlineLevel="0" collapsed="false">
      <c r="A66" s="25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5"/>
      <c r="M66" s="26" t="str">
        <f aca="true">IF($A66="","",IF($K66&lt;&gt;"","",TODAY()-$A66))</f>
        <v/>
      </c>
      <c r="N66" s="27"/>
    </row>
    <row r="67" customFormat="false" ht="15" hidden="false" customHeight="true" outlineLevel="0" collapsed="false">
      <c r="A67" s="25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5"/>
      <c r="M67" s="26" t="str">
        <f aca="true">IF($A67="","",IF($K67&lt;&gt;"","",TODAY()-$A67))</f>
        <v/>
      </c>
      <c r="N67" s="27"/>
    </row>
    <row r="68" customFormat="false" ht="15" hidden="false" customHeight="true" outlineLevel="0" collapsed="false">
      <c r="A68" s="25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5"/>
      <c r="M68" s="26" t="str">
        <f aca="true">IF($A68="","",IF($K68&lt;&gt;"","",TODAY()-$A68))</f>
        <v/>
      </c>
      <c r="N68" s="27"/>
    </row>
    <row r="69" customFormat="false" ht="15" hidden="false" customHeight="true" outlineLevel="0" collapsed="false">
      <c r="A69" s="25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5"/>
      <c r="M69" s="26" t="str">
        <f aca="true">IF($A69="","",IF($K69&lt;&gt;"","",TODAY()-$A69))</f>
        <v/>
      </c>
      <c r="N69" s="27"/>
    </row>
    <row r="70" customFormat="false" ht="15" hidden="false" customHeight="true" outlineLevel="0" collapsed="false">
      <c r="A70" s="25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5"/>
      <c r="M70" s="26" t="str">
        <f aca="true">IF($A70="","",IF($K70&lt;&gt;"","",TODAY()-$A70))</f>
        <v/>
      </c>
      <c r="N70" s="27"/>
    </row>
    <row r="71" customFormat="false" ht="15" hidden="false" customHeight="true" outlineLevel="0" collapsed="false">
      <c r="A71" s="25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5"/>
      <c r="M71" s="26" t="str">
        <f aca="true">IF($A71="","",IF($K71&lt;&gt;"","",TODAY()-$A71))</f>
        <v/>
      </c>
      <c r="N71" s="27"/>
    </row>
    <row r="72" customFormat="false" ht="15" hidden="false" customHeight="true" outlineLevel="0" collapsed="false">
      <c r="A72" s="25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5"/>
      <c r="M72" s="26" t="str">
        <f aca="true">IF($A72="","",IF($K72&lt;&gt;"","",TODAY()-$A72))</f>
        <v/>
      </c>
      <c r="N72" s="27"/>
    </row>
    <row r="73" customFormat="false" ht="15" hidden="false" customHeight="true" outlineLevel="0" collapsed="false">
      <c r="A73" s="25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5"/>
      <c r="M73" s="26" t="str">
        <f aca="true">IF($A73="","",IF($K73&lt;&gt;"","",TODAY()-$A73))</f>
        <v/>
      </c>
      <c r="N73" s="27"/>
    </row>
    <row r="74" customFormat="false" ht="15" hidden="false" customHeight="true" outlineLevel="0" collapsed="false">
      <c r="A74" s="25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5"/>
      <c r="M74" s="26" t="str">
        <f aca="true">IF($A74="","",IF($K74&lt;&gt;"","",TODAY()-$A74))</f>
        <v/>
      </c>
      <c r="N74" s="27"/>
    </row>
    <row r="75" customFormat="false" ht="15" hidden="false" customHeight="true" outlineLevel="0" collapsed="false">
      <c r="A75" s="25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5"/>
      <c r="M75" s="26" t="str">
        <f aca="true">IF($A75="","",IF($K75&lt;&gt;"","",TODAY()-$A75))</f>
        <v/>
      </c>
      <c r="N75" s="27"/>
    </row>
    <row r="76" customFormat="false" ht="15" hidden="false" customHeight="true" outlineLevel="0" collapsed="false">
      <c r="A76" s="25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5"/>
      <c r="M76" s="26" t="str">
        <f aca="true">IF($A76="","",IF($K76&lt;&gt;"","",TODAY()-$A76))</f>
        <v/>
      </c>
      <c r="N76" s="27"/>
    </row>
    <row r="77" customFormat="false" ht="15" hidden="false" customHeight="true" outlineLevel="0" collapsed="false">
      <c r="A77" s="25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5"/>
      <c r="M77" s="26" t="str">
        <f aca="true">IF($A77="","",IF($K77&lt;&gt;"","",TODAY()-$A77))</f>
        <v/>
      </c>
      <c r="N77" s="27"/>
    </row>
    <row r="78" customFormat="false" ht="15" hidden="false" customHeight="true" outlineLevel="0" collapsed="false">
      <c r="A78" s="25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5"/>
      <c r="M78" s="26" t="str">
        <f aca="true">IF($A78="","",IF($K78&lt;&gt;"","",TODAY()-$A78))</f>
        <v/>
      </c>
      <c r="N78" s="27"/>
    </row>
    <row r="79" customFormat="false" ht="15" hidden="false" customHeight="true" outlineLevel="0" collapsed="false">
      <c r="A79" s="25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5"/>
      <c r="M79" s="26" t="str">
        <f aca="true">IF($A79="","",IF($K79&lt;&gt;"","",TODAY()-$A79))</f>
        <v/>
      </c>
      <c r="N79" s="27"/>
    </row>
    <row r="80" customFormat="false" ht="15" hidden="false" customHeight="true" outlineLevel="0" collapsed="false">
      <c r="A80" s="25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5"/>
      <c r="M80" s="26" t="str">
        <f aca="true">IF($A80="","",IF($K80&lt;&gt;"","",TODAY()-$A80))</f>
        <v/>
      </c>
      <c r="N80" s="27"/>
    </row>
    <row r="81" customFormat="false" ht="15" hidden="false" customHeight="true" outlineLevel="0" collapsed="false">
      <c r="A81" s="25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5"/>
      <c r="M81" s="26" t="str">
        <f aca="true">IF($A81="","",IF($K81&lt;&gt;"","",TODAY()-$A81))</f>
        <v/>
      </c>
      <c r="N81" s="27"/>
    </row>
    <row r="82" customFormat="false" ht="15" hidden="false" customHeight="true" outlineLevel="0" collapsed="false">
      <c r="A82" s="25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5"/>
      <c r="M82" s="26" t="str">
        <f aca="true">IF($A82="","",IF($K82&lt;&gt;"","",TODAY()-$A82))</f>
        <v/>
      </c>
      <c r="N82" s="27"/>
    </row>
    <row r="83" customFormat="false" ht="15" hidden="false" customHeight="true" outlineLevel="0" collapsed="false">
      <c r="A83" s="25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5"/>
      <c r="M83" s="26" t="str">
        <f aca="true">IF($A83="","",IF($K83&lt;&gt;"","",TODAY()-$A83))</f>
        <v/>
      </c>
      <c r="N83" s="27"/>
    </row>
  </sheetData>
  <mergeCells count="2">
    <mergeCell ref="A1:N1"/>
    <mergeCell ref="A2:N2"/>
  </mergeCells>
  <conditionalFormatting sqref="M4:M83">
    <cfRule type="cellIs" priority="2" operator="greaterThan" aboveAverage="0" equalAverage="0" bottom="0" percent="0" rank="0" text="" dxfId="4">
      <formula>7</formula>
    </cfRule>
  </conditionalFormatting>
  <dataValidations count="4">
    <dataValidation allowBlank="true" errorStyle="stop" operator="between" showDropDown="false" showErrorMessage="false" showInputMessage="false" sqref="D4:D83" type="list">
      <formula1>"Messenger,WhatsApp,Comment,Group,Referral"</formula1>
      <formula2>0</formula2>
    </dataValidation>
    <dataValidation allowBlank="true" errorStyle="stop" operator="between" showDropDown="false" showErrorMessage="false" showInputMessage="false" sqref="H4:H83" type="list">
      <formula1>"HOT (&lt;2 weeks),WARM (1-2 months),COLD (browsing)"</formula1>
      <formula2>0</formula2>
    </dataValidation>
    <dataValidation allowBlank="true" errorStyle="stop" operator="between" showDropDown="false" showErrorMessage="false" showInputMessage="false" sqref="J4:J83" type="list">
      <formula1>"Yes,No"</formula1>
      <formula2>0</formula2>
    </dataValidation>
    <dataValidation allowBlank="true" errorStyle="stop" operator="between" showDropDown="false" showErrorMessage="false" showInputMessage="false" sqref="K4:K83" type="list">
      <formula1>"Bought,Viewing booked,Still deciding,Lost - price,Lost - other unit,Lost - no reply,Not a buyer"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4" width="11"/>
    <col collapsed="false" customWidth="true" hidden="false" outlineLevel="0" max="2" min="2" style="24" width="16"/>
    <col collapsed="false" customWidth="true" hidden="false" outlineLevel="0" max="3" min="3" style="24" width="26"/>
    <col collapsed="false" customWidth="true" hidden="false" outlineLevel="0" max="4" min="4" style="24" width="34"/>
    <col collapsed="false" customWidth="true" hidden="false" outlineLevel="0" max="6" min="5" style="24" width="16"/>
    <col collapsed="false" customWidth="true" hidden="false" outlineLevel="0" max="7" min="7" style="24" width="10"/>
    <col collapsed="false" customWidth="true" hidden="false" outlineLevel="0" max="8" min="8" style="24" width="26"/>
    <col collapsed="false" customWidth="true" hidden="false" outlineLevel="0" max="9" min="9" style="24" width="18"/>
  </cols>
  <sheetData>
    <row r="1" customFormat="false" ht="24" hidden="false" customHeight="true" outlineLevel="0" collapsed="false">
      <c r="A1" s="1" t="s">
        <v>271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272</v>
      </c>
      <c r="B2" s="2"/>
      <c r="C2" s="2"/>
      <c r="D2" s="2"/>
      <c r="E2" s="2"/>
      <c r="F2" s="2"/>
      <c r="G2" s="2"/>
      <c r="H2" s="2"/>
      <c r="I2" s="2"/>
    </row>
    <row r="3" customFormat="false" ht="33.75" hidden="false" customHeight="true" outlineLevel="0" collapsed="false">
      <c r="A3" s="3" t="s">
        <v>3</v>
      </c>
      <c r="B3" s="3" t="s">
        <v>273</v>
      </c>
      <c r="C3" s="3" t="s">
        <v>274</v>
      </c>
      <c r="D3" s="3" t="s">
        <v>275</v>
      </c>
      <c r="E3" s="3" t="s">
        <v>276</v>
      </c>
      <c r="F3" s="3" t="s">
        <v>277</v>
      </c>
      <c r="G3" s="3" t="s">
        <v>278</v>
      </c>
      <c r="H3" s="3" t="s">
        <v>228</v>
      </c>
      <c r="I3" s="3" t="s">
        <v>279</v>
      </c>
    </row>
    <row r="4" customFormat="false" ht="15" hidden="false" customHeight="true" outlineLevel="0" collapsed="false">
      <c r="A4" s="25" t="n">
        <v>46259</v>
      </c>
      <c r="B4" s="27" t="s">
        <v>280</v>
      </c>
      <c r="C4" s="27" t="s">
        <v>281</v>
      </c>
      <c r="D4" s="27" t="s">
        <v>282</v>
      </c>
      <c r="E4" s="27" t="s">
        <v>283</v>
      </c>
      <c r="F4" s="27" t="s">
        <v>284</v>
      </c>
      <c r="G4" s="27" t="s">
        <v>285</v>
      </c>
      <c r="H4" s="27" t="s">
        <v>286</v>
      </c>
      <c r="I4" s="27" t="s">
        <v>287</v>
      </c>
    </row>
    <row r="5" customFormat="false" ht="15" hidden="false" customHeight="true" outlineLevel="0" collapsed="false">
      <c r="A5" s="25"/>
      <c r="B5" s="27"/>
      <c r="C5" s="27"/>
      <c r="D5" s="27"/>
      <c r="E5" s="27"/>
      <c r="F5" s="27"/>
      <c r="G5" s="27"/>
      <c r="H5" s="27"/>
      <c r="I5" s="27"/>
    </row>
    <row r="6" customFormat="false" ht="15" hidden="false" customHeight="true" outlineLevel="0" collapsed="false">
      <c r="A6" s="25"/>
      <c r="B6" s="27"/>
      <c r="C6" s="27"/>
      <c r="D6" s="27"/>
      <c r="E6" s="27"/>
      <c r="F6" s="27"/>
      <c r="G6" s="27"/>
      <c r="H6" s="27"/>
      <c r="I6" s="27"/>
    </row>
    <row r="7" customFormat="false" ht="15" hidden="false" customHeight="true" outlineLevel="0" collapsed="false">
      <c r="A7" s="25"/>
      <c r="B7" s="27"/>
      <c r="C7" s="27"/>
      <c r="D7" s="27"/>
      <c r="E7" s="27"/>
      <c r="F7" s="27"/>
      <c r="G7" s="27"/>
      <c r="H7" s="27"/>
      <c r="I7" s="27"/>
    </row>
    <row r="8" customFormat="false" ht="15" hidden="false" customHeight="true" outlineLevel="0" collapsed="false">
      <c r="A8" s="25"/>
      <c r="B8" s="27"/>
      <c r="C8" s="27"/>
      <c r="D8" s="27"/>
      <c r="E8" s="27"/>
      <c r="F8" s="27"/>
      <c r="G8" s="27"/>
      <c r="H8" s="27"/>
      <c r="I8" s="27"/>
    </row>
    <row r="9" customFormat="false" ht="15" hidden="false" customHeight="true" outlineLevel="0" collapsed="false">
      <c r="A9" s="25"/>
      <c r="B9" s="27"/>
      <c r="C9" s="27"/>
      <c r="D9" s="27"/>
      <c r="E9" s="27"/>
      <c r="F9" s="27"/>
      <c r="G9" s="27"/>
      <c r="H9" s="27"/>
      <c r="I9" s="27"/>
    </row>
    <row r="10" customFormat="false" ht="15" hidden="false" customHeight="true" outlineLevel="0" collapsed="false">
      <c r="A10" s="25"/>
      <c r="B10" s="27"/>
      <c r="C10" s="27"/>
      <c r="D10" s="27"/>
      <c r="E10" s="27"/>
      <c r="F10" s="27"/>
      <c r="G10" s="27"/>
      <c r="H10" s="27"/>
      <c r="I10" s="27"/>
    </row>
    <row r="11" customFormat="false" ht="15" hidden="false" customHeight="true" outlineLevel="0" collapsed="false">
      <c r="A11" s="25"/>
      <c r="B11" s="27"/>
      <c r="C11" s="27"/>
      <c r="D11" s="27"/>
      <c r="E11" s="27"/>
      <c r="F11" s="27"/>
      <c r="G11" s="27"/>
      <c r="H11" s="27"/>
      <c r="I11" s="27"/>
    </row>
    <row r="12" customFormat="false" ht="15" hidden="false" customHeight="true" outlineLevel="0" collapsed="false">
      <c r="A12" s="25"/>
      <c r="B12" s="27"/>
      <c r="C12" s="27"/>
      <c r="D12" s="27"/>
      <c r="E12" s="27"/>
      <c r="F12" s="27"/>
      <c r="G12" s="27"/>
      <c r="H12" s="27"/>
      <c r="I12" s="27"/>
    </row>
    <row r="13" customFormat="false" ht="15" hidden="false" customHeight="true" outlineLevel="0" collapsed="false">
      <c r="A13" s="25"/>
      <c r="B13" s="27"/>
      <c r="C13" s="27"/>
      <c r="D13" s="27"/>
      <c r="E13" s="27"/>
      <c r="F13" s="27"/>
      <c r="G13" s="27"/>
      <c r="H13" s="27"/>
      <c r="I13" s="27"/>
    </row>
    <row r="14" customFormat="false" ht="15" hidden="false" customHeight="true" outlineLevel="0" collapsed="false">
      <c r="A14" s="25"/>
      <c r="B14" s="27"/>
      <c r="C14" s="27"/>
      <c r="D14" s="27"/>
      <c r="E14" s="27"/>
      <c r="F14" s="27"/>
      <c r="G14" s="27"/>
      <c r="H14" s="27"/>
      <c r="I14" s="27"/>
    </row>
    <row r="15" customFormat="false" ht="15" hidden="false" customHeight="true" outlineLevel="0" collapsed="false">
      <c r="A15" s="25"/>
      <c r="B15" s="27"/>
      <c r="C15" s="27"/>
      <c r="D15" s="27"/>
      <c r="E15" s="27"/>
      <c r="F15" s="27"/>
      <c r="G15" s="27"/>
      <c r="H15" s="27"/>
      <c r="I15" s="27"/>
    </row>
    <row r="16" customFormat="false" ht="15" hidden="false" customHeight="true" outlineLevel="0" collapsed="false">
      <c r="A16" s="25"/>
      <c r="B16" s="27"/>
      <c r="C16" s="27"/>
      <c r="D16" s="27"/>
      <c r="E16" s="27"/>
      <c r="F16" s="27"/>
      <c r="G16" s="27"/>
      <c r="H16" s="27"/>
      <c r="I16" s="27"/>
    </row>
    <row r="17" customFormat="false" ht="15" hidden="false" customHeight="true" outlineLevel="0" collapsed="false">
      <c r="A17" s="25"/>
      <c r="B17" s="27"/>
      <c r="C17" s="27"/>
      <c r="D17" s="27"/>
      <c r="E17" s="27"/>
      <c r="F17" s="27"/>
      <c r="G17" s="27"/>
      <c r="H17" s="27"/>
      <c r="I17" s="27"/>
    </row>
    <row r="18" customFormat="false" ht="15" hidden="false" customHeight="true" outlineLevel="0" collapsed="false">
      <c r="A18" s="25"/>
      <c r="B18" s="27"/>
      <c r="C18" s="27"/>
      <c r="D18" s="27"/>
      <c r="E18" s="27"/>
      <c r="F18" s="27"/>
      <c r="G18" s="27"/>
      <c r="H18" s="27"/>
      <c r="I18" s="27"/>
    </row>
    <row r="19" customFormat="false" ht="15" hidden="false" customHeight="true" outlineLevel="0" collapsed="false">
      <c r="A19" s="25"/>
      <c r="B19" s="27"/>
      <c r="C19" s="27"/>
      <c r="D19" s="27"/>
      <c r="E19" s="27"/>
      <c r="F19" s="27"/>
      <c r="G19" s="27"/>
      <c r="H19" s="27"/>
      <c r="I19" s="27"/>
    </row>
    <row r="20" customFormat="false" ht="15" hidden="false" customHeight="true" outlineLevel="0" collapsed="false">
      <c r="A20" s="25"/>
      <c r="B20" s="27"/>
      <c r="C20" s="27"/>
      <c r="D20" s="27"/>
      <c r="E20" s="27"/>
      <c r="F20" s="27"/>
      <c r="G20" s="27"/>
      <c r="H20" s="27"/>
      <c r="I20" s="27"/>
    </row>
    <row r="21" customFormat="false" ht="15" hidden="false" customHeight="true" outlineLevel="0" collapsed="false">
      <c r="A21" s="25"/>
      <c r="B21" s="27"/>
      <c r="C21" s="27"/>
      <c r="D21" s="27"/>
      <c r="E21" s="27"/>
      <c r="F21" s="27"/>
      <c r="G21" s="27"/>
      <c r="H21" s="27"/>
      <c r="I21" s="27"/>
    </row>
    <row r="22" customFormat="false" ht="15" hidden="false" customHeight="true" outlineLevel="0" collapsed="false">
      <c r="A22" s="25"/>
      <c r="B22" s="27"/>
      <c r="C22" s="27"/>
      <c r="D22" s="27"/>
      <c r="E22" s="27"/>
      <c r="F22" s="27"/>
      <c r="G22" s="27"/>
      <c r="H22" s="27"/>
      <c r="I22" s="27"/>
    </row>
    <row r="23" customFormat="false" ht="15" hidden="false" customHeight="true" outlineLevel="0" collapsed="false">
      <c r="A23" s="25"/>
      <c r="B23" s="27"/>
      <c r="C23" s="27"/>
      <c r="D23" s="27"/>
      <c r="E23" s="27"/>
      <c r="F23" s="27"/>
      <c r="G23" s="27"/>
      <c r="H23" s="27"/>
      <c r="I23" s="27"/>
    </row>
    <row r="24" customFormat="false" ht="15" hidden="false" customHeight="true" outlineLevel="0" collapsed="false">
      <c r="A24" s="25"/>
      <c r="B24" s="27"/>
      <c r="C24" s="27"/>
      <c r="D24" s="27"/>
      <c r="E24" s="27"/>
      <c r="F24" s="27"/>
      <c r="G24" s="27"/>
      <c r="H24" s="27"/>
      <c r="I24" s="27"/>
    </row>
    <row r="25" customFormat="false" ht="15" hidden="false" customHeight="true" outlineLevel="0" collapsed="false">
      <c r="A25" s="25"/>
      <c r="B25" s="27"/>
      <c r="C25" s="27"/>
      <c r="D25" s="27"/>
      <c r="E25" s="27"/>
      <c r="F25" s="27"/>
      <c r="G25" s="27"/>
      <c r="H25" s="27"/>
      <c r="I25" s="27"/>
    </row>
    <row r="26" customFormat="false" ht="15" hidden="false" customHeight="true" outlineLevel="0" collapsed="false">
      <c r="A26" s="25"/>
      <c r="B26" s="27"/>
      <c r="C26" s="27"/>
      <c r="D26" s="27"/>
      <c r="E26" s="27"/>
      <c r="F26" s="27"/>
      <c r="G26" s="27"/>
      <c r="H26" s="27"/>
      <c r="I26" s="27"/>
    </row>
    <row r="27" customFormat="false" ht="15" hidden="false" customHeight="true" outlineLevel="0" collapsed="false">
      <c r="A27" s="25"/>
      <c r="B27" s="27"/>
      <c r="C27" s="27"/>
      <c r="D27" s="27"/>
      <c r="E27" s="27"/>
      <c r="F27" s="27"/>
      <c r="G27" s="27"/>
      <c r="H27" s="27"/>
      <c r="I27" s="27"/>
    </row>
    <row r="28" customFormat="false" ht="15" hidden="false" customHeight="true" outlineLevel="0" collapsed="false">
      <c r="A28" s="25"/>
      <c r="B28" s="27"/>
      <c r="C28" s="27"/>
      <c r="D28" s="27"/>
      <c r="E28" s="27"/>
      <c r="F28" s="27"/>
      <c r="G28" s="27"/>
      <c r="H28" s="27"/>
      <c r="I28" s="27"/>
    </row>
    <row r="29" customFormat="false" ht="15" hidden="false" customHeight="true" outlineLevel="0" collapsed="false">
      <c r="A29" s="25"/>
      <c r="B29" s="27"/>
      <c r="C29" s="27"/>
      <c r="D29" s="27"/>
      <c r="E29" s="27"/>
      <c r="F29" s="27"/>
      <c r="G29" s="27"/>
      <c r="H29" s="27"/>
      <c r="I29" s="27"/>
    </row>
    <row r="30" customFormat="false" ht="15" hidden="false" customHeight="true" outlineLevel="0" collapsed="false">
      <c r="A30" s="25"/>
      <c r="B30" s="27"/>
      <c r="C30" s="27"/>
      <c r="D30" s="27"/>
      <c r="E30" s="27"/>
      <c r="F30" s="27"/>
      <c r="G30" s="27"/>
      <c r="H30" s="27"/>
      <c r="I30" s="27"/>
    </row>
    <row r="31" customFormat="false" ht="15" hidden="false" customHeight="true" outlineLevel="0" collapsed="false">
      <c r="A31" s="25"/>
      <c r="B31" s="27"/>
      <c r="C31" s="27"/>
      <c r="D31" s="27"/>
      <c r="E31" s="27"/>
      <c r="F31" s="27"/>
      <c r="G31" s="27"/>
      <c r="H31" s="27"/>
      <c r="I31" s="27"/>
    </row>
    <row r="32" customFormat="false" ht="1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</row>
    <row r="33" customFormat="false" ht="15" hidden="false" customHeight="true" outlineLevel="0" collapsed="false">
      <c r="A33" s="25"/>
      <c r="B33" s="27"/>
      <c r="C33" s="27"/>
      <c r="D33" s="27"/>
      <c r="E33" s="27"/>
      <c r="F33" s="27"/>
      <c r="G33" s="27"/>
      <c r="H33" s="27"/>
      <c r="I33" s="27"/>
    </row>
    <row r="34" customFormat="false" ht="15" hidden="false" customHeight="true" outlineLevel="0" collapsed="false">
      <c r="A34" s="25"/>
      <c r="B34" s="27"/>
      <c r="C34" s="27"/>
      <c r="D34" s="27"/>
      <c r="E34" s="27"/>
      <c r="F34" s="27"/>
      <c r="G34" s="27"/>
      <c r="H34" s="27"/>
      <c r="I34" s="27"/>
    </row>
    <row r="35" customFormat="false" ht="15" hidden="false" customHeight="true" outlineLevel="0" collapsed="false">
      <c r="A35" s="25"/>
      <c r="B35" s="27"/>
      <c r="C35" s="27"/>
      <c r="D35" s="27"/>
      <c r="E35" s="27"/>
      <c r="F35" s="27"/>
      <c r="G35" s="27"/>
      <c r="H35" s="27"/>
      <c r="I35" s="27"/>
    </row>
    <row r="36" customFormat="false" ht="15" hidden="false" customHeight="true" outlineLevel="0" collapsed="false">
      <c r="A36" s="25"/>
      <c r="B36" s="27"/>
      <c r="C36" s="27"/>
      <c r="D36" s="27"/>
      <c r="E36" s="27"/>
      <c r="F36" s="27"/>
      <c r="G36" s="27"/>
      <c r="H36" s="27"/>
      <c r="I36" s="27"/>
    </row>
    <row r="37" customFormat="false" ht="15" hidden="false" customHeight="true" outlineLevel="0" collapsed="false">
      <c r="A37" s="25"/>
      <c r="B37" s="27"/>
      <c r="C37" s="27"/>
      <c r="D37" s="27"/>
      <c r="E37" s="27"/>
      <c r="F37" s="27"/>
      <c r="G37" s="27"/>
      <c r="H37" s="27"/>
      <c r="I37" s="27"/>
    </row>
    <row r="38" customFormat="false" ht="15" hidden="false" customHeight="true" outlineLevel="0" collapsed="false">
      <c r="A38" s="25"/>
      <c r="B38" s="27"/>
      <c r="C38" s="27"/>
      <c r="D38" s="27"/>
      <c r="E38" s="27"/>
      <c r="F38" s="27"/>
      <c r="G38" s="27"/>
      <c r="H38" s="27"/>
      <c r="I38" s="27"/>
    </row>
    <row r="39" customFormat="false" ht="15" hidden="false" customHeight="true" outlineLevel="0" collapsed="false">
      <c r="A39" s="25"/>
      <c r="B39" s="27"/>
      <c r="C39" s="27"/>
      <c r="D39" s="27"/>
      <c r="E39" s="27"/>
      <c r="F39" s="27"/>
      <c r="G39" s="27"/>
      <c r="H39" s="27"/>
      <c r="I39" s="27"/>
    </row>
    <row r="40" customFormat="false" ht="15" hidden="false" customHeight="true" outlineLevel="0" collapsed="false">
      <c r="A40" s="25"/>
      <c r="B40" s="27"/>
      <c r="C40" s="27"/>
      <c r="D40" s="27"/>
      <c r="E40" s="27"/>
      <c r="F40" s="27"/>
      <c r="G40" s="27"/>
      <c r="H40" s="27"/>
      <c r="I40" s="27"/>
    </row>
    <row r="41" customFormat="false" ht="15" hidden="false" customHeight="true" outlineLevel="0" collapsed="false">
      <c r="A41" s="25"/>
      <c r="B41" s="27"/>
      <c r="C41" s="27"/>
      <c r="D41" s="27"/>
      <c r="E41" s="27"/>
      <c r="F41" s="27"/>
      <c r="G41" s="27"/>
      <c r="H41" s="27"/>
      <c r="I41" s="27"/>
    </row>
    <row r="42" customFormat="false" ht="15" hidden="false" customHeight="true" outlineLevel="0" collapsed="false">
      <c r="A42" s="25"/>
      <c r="B42" s="27"/>
      <c r="C42" s="27"/>
      <c r="D42" s="27"/>
      <c r="E42" s="27"/>
      <c r="F42" s="27"/>
      <c r="G42" s="27"/>
      <c r="H42" s="27"/>
      <c r="I42" s="27"/>
    </row>
    <row r="43" customFormat="false" ht="15" hidden="false" customHeight="true" outlineLevel="0" collapsed="false">
      <c r="A43" s="25"/>
      <c r="B43" s="27"/>
      <c r="C43" s="27"/>
      <c r="D43" s="27"/>
      <c r="E43" s="27"/>
      <c r="F43" s="27"/>
      <c r="G43" s="27"/>
      <c r="H43" s="27"/>
      <c r="I43" s="27"/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B4:B43" type="list">
      <formula1>"Hook A/B,Experiment day,CTA test,Posting time,Caption test"</formula1>
      <formula2>0</formula2>
    </dataValidation>
    <dataValidation allowBlank="true" errorStyle="stop" operator="between" showDropDown="false" showErrorMessage="false" showInputMessage="false" sqref="I4:I43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4" width="26"/>
    <col collapsed="false" customWidth="true" hidden="false" outlineLevel="0" max="4" min="2" style="24" width="14"/>
    <col collapsed="false" customWidth="true" hidden="false" outlineLevel="0" max="5" min="5" style="24" width="20"/>
    <col collapsed="false" customWidth="true" hidden="false" outlineLevel="0" max="6" min="6" style="24" width="44"/>
  </cols>
  <sheetData>
    <row r="1" customFormat="false" ht="24" hidden="false" customHeight="true" outlineLevel="0" collapsed="false">
      <c r="A1" s="1" t="s">
        <v>288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289</v>
      </c>
      <c r="B2" s="2"/>
      <c r="C2" s="2"/>
      <c r="D2" s="2"/>
      <c r="E2" s="2"/>
      <c r="F2" s="2"/>
    </row>
    <row r="3" customFormat="false" ht="33.75" hidden="false" customHeight="true" outlineLevel="0" collapsed="false">
      <c r="A3" s="3" t="s">
        <v>10</v>
      </c>
      <c r="B3" s="3" t="s">
        <v>290</v>
      </c>
      <c r="C3" s="3" t="s">
        <v>291</v>
      </c>
      <c r="D3" s="3" t="s">
        <v>292</v>
      </c>
      <c r="E3" s="3" t="s">
        <v>293</v>
      </c>
      <c r="F3" s="3" t="s">
        <v>294</v>
      </c>
    </row>
    <row r="4" customFormat="false" ht="19.5" hidden="false" customHeight="true" outlineLevel="0" collapsed="false">
      <c r="A4" s="29" t="s">
        <v>295</v>
      </c>
      <c r="B4" s="30" t="n">
        <v>0.2</v>
      </c>
      <c r="C4" s="30" t="n">
        <v>0.25</v>
      </c>
      <c r="D4" s="30" t="n">
        <v>0.3</v>
      </c>
      <c r="E4" s="30" t="n">
        <v>0.14</v>
      </c>
      <c r="F4" s="31" t="s">
        <v>296</v>
      </c>
    </row>
    <row r="5" customFormat="false" ht="19.5" hidden="false" customHeight="true" outlineLevel="0" collapsed="false">
      <c r="A5" s="26" t="s">
        <v>297</v>
      </c>
      <c r="B5" s="32" t="n">
        <v>7</v>
      </c>
      <c r="C5" s="32" t="n">
        <v>7</v>
      </c>
      <c r="D5" s="32" t="n">
        <v>7</v>
      </c>
      <c r="E5" s="33" t="n">
        <v>5</v>
      </c>
      <c r="F5" s="34" t="s">
        <v>298</v>
      </c>
    </row>
    <row r="6" customFormat="false" ht="19.5" hidden="false" customHeight="true" outlineLevel="0" collapsed="false">
      <c r="A6" s="26" t="s">
        <v>299</v>
      </c>
      <c r="B6" s="32" t="n">
        <v>50</v>
      </c>
      <c r="C6" s="32" t="n">
        <v>75</v>
      </c>
      <c r="D6" s="32" t="n">
        <v>75</v>
      </c>
      <c r="E6" s="33" t="n">
        <v>0</v>
      </c>
      <c r="F6" s="34" t="s">
        <v>300</v>
      </c>
    </row>
    <row r="7" customFormat="false" ht="19.5" hidden="false" customHeight="true" outlineLevel="0" collapsed="false">
      <c r="A7" s="26" t="s">
        <v>301</v>
      </c>
      <c r="B7" s="32" t="n">
        <v>20</v>
      </c>
      <c r="C7" s="32" t="n">
        <v>40</v>
      </c>
      <c r="D7" s="32" t="n">
        <v>60</v>
      </c>
      <c r="E7" s="33" t="n">
        <v>4</v>
      </c>
      <c r="F7" s="34" t="s">
        <v>302</v>
      </c>
    </row>
    <row r="8" customFormat="false" ht="19.5" hidden="false" customHeight="true" outlineLevel="0" collapsed="false">
      <c r="A8" s="26" t="s">
        <v>303</v>
      </c>
      <c r="B8" s="32" t="s">
        <v>304</v>
      </c>
      <c r="C8" s="32" t="n">
        <v>40</v>
      </c>
      <c r="D8" s="32" t="n">
        <v>80</v>
      </c>
      <c r="E8" s="33" t="s">
        <v>305</v>
      </c>
      <c r="F8" s="34" t="s">
        <v>306</v>
      </c>
    </row>
    <row r="9" customFormat="false" ht="19.5" hidden="false" customHeight="true" outlineLevel="0" collapsed="false">
      <c r="A9" s="26" t="s">
        <v>307</v>
      </c>
      <c r="B9" s="32" t="n">
        <v>50</v>
      </c>
      <c r="C9" s="32" t="n">
        <v>150</v>
      </c>
      <c r="D9" s="32" t="n">
        <v>300</v>
      </c>
      <c r="E9" s="33" t="n">
        <v>-15</v>
      </c>
      <c r="F9" s="34" t="s">
        <v>308</v>
      </c>
    </row>
    <row r="10" customFormat="false" ht="19.5" hidden="false" customHeight="true" outlineLevel="0" collapsed="false">
      <c r="A10" s="26" t="s">
        <v>309</v>
      </c>
      <c r="B10" s="32" t="n">
        <v>6</v>
      </c>
      <c r="C10" s="32" t="n">
        <v>12</v>
      </c>
      <c r="D10" s="32" t="n">
        <v>20</v>
      </c>
      <c r="E10" s="33" t="n">
        <v>2</v>
      </c>
      <c r="F10" s="34" t="s">
        <v>310</v>
      </c>
    </row>
    <row r="11" customFormat="false" ht="19.5" hidden="false" customHeight="true" outlineLevel="0" collapsed="false">
      <c r="A11" s="26" t="s">
        <v>311</v>
      </c>
      <c r="B11" s="32" t="n">
        <v>2</v>
      </c>
      <c r="C11" s="32" t="n">
        <v>3</v>
      </c>
      <c r="D11" s="32" t="n">
        <v>4</v>
      </c>
      <c r="E11" s="33" t="s">
        <v>312</v>
      </c>
      <c r="F11" s="34" t="s">
        <v>313</v>
      </c>
    </row>
    <row r="14" customFormat="false" ht="15" hidden="false" customHeight="true" outlineLevel="0" collapsed="false">
      <c r="A14" s="35" t="s">
        <v>314</v>
      </c>
      <c r="B14" s="35"/>
      <c r="C14" s="35"/>
      <c r="D14" s="35"/>
      <c r="E14" s="35"/>
      <c r="F14" s="35"/>
    </row>
    <row r="15" customFormat="false" ht="15" hidden="false" customHeight="true" outlineLevel="0" collapsed="false">
      <c r="A15" s="36" t="s">
        <v>315</v>
      </c>
      <c r="B15" s="37" t="s">
        <v>316</v>
      </c>
      <c r="C15" s="37"/>
      <c r="D15" s="37"/>
      <c r="E15" s="37"/>
      <c r="F15" s="37"/>
    </row>
    <row r="16" customFormat="false" ht="15" hidden="false" customHeight="true" outlineLevel="0" collapsed="false">
      <c r="A16" s="36" t="s">
        <v>317</v>
      </c>
      <c r="B16" s="37" t="s">
        <v>318</v>
      </c>
      <c r="C16" s="37"/>
      <c r="D16" s="37"/>
      <c r="E16" s="37"/>
      <c r="F16" s="37"/>
    </row>
    <row r="17" customFormat="false" ht="15" hidden="false" customHeight="true" outlineLevel="0" collapsed="false">
      <c r="A17" s="36" t="s">
        <v>319</v>
      </c>
      <c r="B17" s="37" t="s">
        <v>320</v>
      </c>
      <c r="C17" s="37"/>
      <c r="D17" s="37"/>
      <c r="E17" s="37"/>
      <c r="F17" s="37"/>
    </row>
    <row r="18" customFormat="false" ht="15" hidden="false" customHeight="true" outlineLevel="0" collapsed="false">
      <c r="A18" s="36" t="s">
        <v>321</v>
      </c>
      <c r="B18" s="37" t="s">
        <v>322</v>
      </c>
      <c r="C18" s="37"/>
      <c r="D18" s="37"/>
      <c r="E18" s="37"/>
      <c r="F18" s="37"/>
    </row>
    <row r="19" customFormat="false" ht="15" hidden="false" customHeight="true" outlineLevel="0" collapsed="false">
      <c r="A19" s="36" t="s">
        <v>323</v>
      </c>
      <c r="B19" s="37" t="s">
        <v>324</v>
      </c>
      <c r="C19" s="37"/>
      <c r="D19" s="37"/>
      <c r="E19" s="37"/>
      <c r="F19" s="37"/>
    </row>
    <row r="20" customFormat="false" ht="15" hidden="false" customHeight="true" outlineLevel="0" collapsed="false">
      <c r="A20" s="36" t="s">
        <v>325</v>
      </c>
      <c r="B20" s="37" t="s">
        <v>326</v>
      </c>
      <c r="C20" s="37"/>
      <c r="D20" s="37"/>
      <c r="E20" s="37"/>
      <c r="F20" s="37"/>
    </row>
    <row r="21" customFormat="false" ht="15" hidden="false" customHeight="true" outlineLevel="0" collapsed="false">
      <c r="A21" s="36" t="s">
        <v>327</v>
      </c>
      <c r="B21" s="37" t="s">
        <v>328</v>
      </c>
      <c r="C21" s="37"/>
      <c r="D21" s="37"/>
      <c r="E21" s="37"/>
      <c r="F21" s="37"/>
    </row>
    <row r="22" customFormat="false" ht="15" hidden="false" customHeight="true" outlineLevel="0" collapsed="false">
      <c r="A22" s="36" t="s">
        <v>329</v>
      </c>
      <c r="B22" s="37" t="s">
        <v>330</v>
      </c>
      <c r="C22" s="37"/>
      <c r="D22" s="37"/>
      <c r="E22" s="37"/>
      <c r="F22" s="37"/>
    </row>
  </sheetData>
  <mergeCells count="11">
    <mergeCell ref="A1:F1"/>
    <mergeCell ref="A2:F2"/>
    <mergeCell ref="A14:F14"/>
    <mergeCell ref="B15:F15"/>
    <mergeCell ref="B16:F16"/>
    <mergeCell ref="B17:F17"/>
    <mergeCell ref="B18:F18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2026-08-22T13:04:11Z</dcterms:created>
  <dc:creator>openpyxl</dc:creator>
  <dc:description/>
  <dc:language>en-US</dc:language>
  <cp:lastModifiedBy/>
  <dcterms:modified xsi:type="dcterms:W3CDTF">2026-08-24T03:11:05Z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